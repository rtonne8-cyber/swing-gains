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Data_Import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Lift_Trends" sheetId="3" state="visible" r:id="rId3"/>
    <sheet xmlns:r="http://schemas.openxmlformats.org/officeDocument/2006/relationships" name="Speed_and_ROM" sheetId="4" state="visible" r:id="rId4"/>
    <sheet xmlns:r="http://schemas.openxmlformats.org/officeDocument/2006/relationships" name="Weakness_Pan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color rgb="006B6862"/>
      <sz val="10"/>
    </font>
    <font>
      <b val="1"/>
      <color rgb="0034699E"/>
      <sz val="14"/>
    </font>
    <font>
      <b val="1"/>
      <color rgb="002A2A28"/>
    </font>
  </fonts>
  <fills count="3">
    <fill>
      <patternFill/>
    </fill>
    <fill>
      <patternFill patternType="gray125"/>
    </fill>
    <fill>
      <patternFill patternType="solid">
        <fgColor rgb="003469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by block (kg)</a:t>
            </a:r>
          </a:p>
        </rich>
      </tx>
    </title>
    <plotArea>
      <lineChart>
        <grouping val="standard"/>
        <ser>
          <idx val="0"/>
          <order val="0"/>
          <tx>
            <strRef>
              <f>'Lift_Trends'!A3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'Lift_Trends'!$A$4:$A$11</f>
            </numRef>
          </cat>
          <val>
            <numRef>
              <f>'Lift_Trends'!$A$4:$A$11</f>
            </numRef>
          </val>
        </ser>
        <ser>
          <idx val="1"/>
          <order val="1"/>
          <tx>
            <strRef>
              <f>'Lift_Trends'!B3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'Lift_Trends'!$A$4:$A$11</f>
            </numRef>
          </cat>
          <val>
            <numRef>
              <f>'Lift_Trends'!$B$4:$B$11</f>
            </numRef>
          </val>
        </ser>
        <ser>
          <idx val="2"/>
          <order val="2"/>
          <tx>
            <strRef>
              <f>'Lift_Trends'!C3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'Lift_Trends'!$A$4:$A$11</f>
            </numRef>
          </cat>
          <val>
            <numRef>
              <f>'Lift_Trends'!$C$4:$C$11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Block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Swing speed by block</a:t>
            </a:r>
          </a:p>
        </rich>
      </tx>
    </title>
    <plotArea>
      <lineChart>
        <grouping val="standard"/>
        <ser>
          <idx val="0"/>
          <order val="0"/>
          <tx>
            <strRef>
              <f>'Speed_and_ROM'!B3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'Speed_and_ROM'!$A$4:$A$11</f>
            </numRef>
          </cat>
          <val>
            <numRef>
              <f>'Speed_and_ROM'!$B$4:$B$11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Block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mph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ROM scores by block</a:t>
            </a:r>
          </a:p>
        </rich>
      </tx>
    </title>
    <plotArea>
      <lineChart>
        <grouping val="standard"/>
        <ser>
          <idx val="0"/>
          <order val="0"/>
          <tx>
            <strRef>
              <f>'Speed_and_ROM'!C3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'Speed_and_ROM'!$A$4:$A$11</f>
            </numRef>
          </cat>
          <val>
            <numRef>
              <f>'Speed_and_ROM'!$C$4:$C$11</f>
            </numRef>
          </val>
        </ser>
        <ser>
          <idx val="1"/>
          <order val="1"/>
          <tx>
            <strRef>
              <f>'Speed_and_ROM'!D3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'Speed_and_ROM'!$A$4:$A$11</f>
            </numRef>
          </cat>
          <val>
            <numRef>
              <f>'Speed_and_ROM'!$D$4:$D$11</f>
            </numRef>
          </val>
        </ser>
        <ser>
          <idx val="2"/>
          <order val="2"/>
          <tx>
            <strRef>
              <f>'Speed_and_ROM'!E3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'Speed_and_ROM'!$A$4:$A$11</f>
            </numRef>
          </cat>
          <val>
            <numRef>
              <f>'Speed_and_ROM'!$E$4:$E$11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Block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4" customWidth="1" min="4" max="4"/>
    <col width="2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date</t>
        </is>
      </c>
      <c r="B1" s="1" t="inlineStr">
        <is>
          <t>block</t>
        </is>
      </c>
      <c r="C1" s="1" t="inlineStr">
        <is>
          <t>sessionType</t>
        </is>
      </c>
      <c r="D1" s="1" t="inlineStr">
        <is>
          <t>venue</t>
        </is>
      </c>
      <c r="E1" s="1" t="inlineStr">
        <is>
          <t>exercise</t>
        </is>
      </c>
      <c r="F1" s="1" t="inlineStr">
        <is>
          <t>setNo</t>
        </is>
      </c>
      <c r="G1" s="1" t="inlineStr">
        <is>
          <t>reps</t>
        </is>
      </c>
      <c r="H1" s="1" t="inlineStr">
        <is>
          <t>loadKg</t>
        </is>
      </c>
      <c r="I1" s="1" t="inlineStr">
        <is>
          <t>rpe</t>
        </is>
      </c>
      <c r="J1" s="1" t="inlineStr">
        <is>
          <t>metricType</t>
        </is>
      </c>
      <c r="K1" s="1" t="inlineStr">
        <is>
          <t>metricValue</t>
        </is>
      </c>
      <c r="L1" s="1" t="inlineStr">
        <is>
          <t>unit</t>
        </is>
      </c>
      <c r="M1" s="1" t="inlineStr">
        <is>
          <t>device</t>
        </is>
      </c>
      <c r="N1" s="1" t="inlineStr">
        <is>
          <t>_FirstOfSession (helper -- do not delete/edit)</t>
        </is>
      </c>
      <c r="O1" s="1" t="inlineStr">
        <is>
          <t>_EffectiveBlock (helper -- do not delete/edit)</t>
        </is>
      </c>
      <c r="Q1" s="2" t="inlineStr">
        <is>
          <t>Paste the app's CSV export starting at row 2 (append model -- keep chronological order).</t>
        </is>
      </c>
    </row>
    <row r="2">
      <c r="N2">
        <f>IF($A2="","",IF(COUNTIFS($A$2:$A2,$A2,$C$2:$C2,$C2)=1,1,0))</f>
        <v/>
      </c>
      <c r="O2">
        <f>IF($A2="","",IF($B2&lt;&gt;"",$B2,""))</f>
        <v/>
      </c>
    </row>
    <row r="3">
      <c r="N3">
        <f>IF($A3="","",IF(COUNTIFS($A$2:$A3,$A3,$C$2:$C3,$C3)=1,1,0))</f>
        <v/>
      </c>
      <c r="O3">
        <f>IF($A3="","",IF($B3&lt;&gt;"",$B3,$O2))</f>
        <v/>
      </c>
    </row>
    <row r="4">
      <c r="N4">
        <f>IF($A4="","",IF(COUNTIFS($A$2:$A4,$A4,$C$2:$C4,$C4)=1,1,0))</f>
        <v/>
      </c>
      <c r="O4">
        <f>IF($A4="","",IF($B4&lt;&gt;"",$B4,$O3))</f>
        <v/>
      </c>
    </row>
    <row r="5">
      <c r="N5">
        <f>IF($A5="","",IF(COUNTIFS($A$2:$A5,$A5,$C$2:$C5,$C5)=1,1,0))</f>
        <v/>
      </c>
      <c r="O5">
        <f>IF($A5="","",IF($B5&lt;&gt;"",$B5,$O4))</f>
        <v/>
      </c>
    </row>
    <row r="6">
      <c r="N6">
        <f>IF($A6="","",IF(COUNTIFS($A$2:$A6,$A6,$C$2:$C6,$C6)=1,1,0))</f>
        <v/>
      </c>
      <c r="O6">
        <f>IF($A6="","",IF($B6&lt;&gt;"",$B6,$O5))</f>
        <v/>
      </c>
    </row>
    <row r="7">
      <c r="N7">
        <f>IF($A7="","",IF(COUNTIFS($A$2:$A7,$A7,$C$2:$C7,$C7)=1,1,0))</f>
        <v/>
      </c>
      <c r="O7">
        <f>IF($A7="","",IF($B7&lt;&gt;"",$B7,$O6))</f>
        <v/>
      </c>
    </row>
    <row r="8">
      <c r="N8">
        <f>IF($A8="","",IF(COUNTIFS($A$2:$A8,$A8,$C$2:$C8,$C8)=1,1,0))</f>
        <v/>
      </c>
      <c r="O8">
        <f>IF($A8="","",IF($B8&lt;&gt;"",$B8,$O7))</f>
        <v/>
      </c>
    </row>
    <row r="9">
      <c r="N9">
        <f>IF($A9="","",IF(COUNTIFS($A$2:$A9,$A9,$C$2:$C9,$C9)=1,1,0))</f>
        <v/>
      </c>
      <c r="O9">
        <f>IF($A9="","",IF($B9&lt;&gt;"",$B9,$O8))</f>
        <v/>
      </c>
    </row>
    <row r="10">
      <c r="N10">
        <f>IF($A10="","",IF(COUNTIFS($A$2:$A10,$A10,$C$2:$C10,$C10)=1,1,0))</f>
        <v/>
      </c>
      <c r="O10">
        <f>IF($A10="","",IF($B10&lt;&gt;"",$B10,$O9))</f>
        <v/>
      </c>
    </row>
    <row r="11">
      <c r="N11">
        <f>IF($A11="","",IF(COUNTIFS($A$2:$A11,$A11,$C$2:$C11,$C11)=1,1,0))</f>
        <v/>
      </c>
      <c r="O11">
        <f>IF($A11="","",IF($B11&lt;&gt;"",$B11,$O10))</f>
        <v/>
      </c>
    </row>
    <row r="12">
      <c r="N12">
        <f>IF($A12="","",IF(COUNTIFS($A$2:$A12,$A12,$C$2:$C12,$C12)=1,1,0))</f>
        <v/>
      </c>
      <c r="O12">
        <f>IF($A12="","",IF($B12&lt;&gt;"",$B12,$O11))</f>
        <v/>
      </c>
    </row>
    <row r="13">
      <c r="N13">
        <f>IF($A13="","",IF(COUNTIFS($A$2:$A13,$A13,$C$2:$C13,$C13)=1,1,0))</f>
        <v/>
      </c>
      <c r="O13">
        <f>IF($A13="","",IF($B13&lt;&gt;"",$B13,$O12))</f>
        <v/>
      </c>
    </row>
    <row r="14">
      <c r="N14">
        <f>IF($A14="","",IF(COUNTIFS($A$2:$A14,$A14,$C$2:$C14,$C14)=1,1,0))</f>
        <v/>
      </c>
      <c r="O14">
        <f>IF($A14="","",IF($B14&lt;&gt;"",$B14,$O13))</f>
        <v/>
      </c>
    </row>
    <row r="15">
      <c r="N15">
        <f>IF($A15="","",IF(COUNTIFS($A$2:$A15,$A15,$C$2:$C15,$C15)=1,1,0))</f>
        <v/>
      </c>
      <c r="O15">
        <f>IF($A15="","",IF($B15&lt;&gt;"",$B15,$O14))</f>
        <v/>
      </c>
    </row>
    <row r="16">
      <c r="N16">
        <f>IF($A16="","",IF(COUNTIFS($A$2:$A16,$A16,$C$2:$C16,$C16)=1,1,0))</f>
        <v/>
      </c>
      <c r="O16">
        <f>IF($A16="","",IF($B16&lt;&gt;"",$B16,$O15))</f>
        <v/>
      </c>
    </row>
    <row r="17">
      <c r="N17">
        <f>IF($A17="","",IF(COUNTIFS($A$2:$A17,$A17,$C$2:$C17,$C17)=1,1,0))</f>
        <v/>
      </c>
      <c r="O17">
        <f>IF($A17="","",IF($B17&lt;&gt;"",$B17,$O16))</f>
        <v/>
      </c>
    </row>
    <row r="18">
      <c r="N18">
        <f>IF($A18="","",IF(COUNTIFS($A$2:$A18,$A18,$C$2:$C18,$C18)=1,1,0))</f>
        <v/>
      </c>
      <c r="O18">
        <f>IF($A18="","",IF($B18&lt;&gt;"",$B18,$O17))</f>
        <v/>
      </c>
    </row>
    <row r="19">
      <c r="N19">
        <f>IF($A19="","",IF(COUNTIFS($A$2:$A19,$A19,$C$2:$C19,$C19)=1,1,0))</f>
        <v/>
      </c>
      <c r="O19">
        <f>IF($A19="","",IF($B19&lt;&gt;"",$B19,$O18))</f>
        <v/>
      </c>
    </row>
    <row r="20">
      <c r="N20">
        <f>IF($A20="","",IF(COUNTIFS($A$2:$A20,$A20,$C$2:$C20,$C20)=1,1,0))</f>
        <v/>
      </c>
      <c r="O20">
        <f>IF($A20="","",IF($B20&lt;&gt;"",$B20,$O19))</f>
        <v/>
      </c>
    </row>
    <row r="21">
      <c r="N21">
        <f>IF($A21="","",IF(COUNTIFS($A$2:$A21,$A21,$C$2:$C21,$C21)=1,1,0))</f>
        <v/>
      </c>
      <c r="O21">
        <f>IF($A21="","",IF($B21&lt;&gt;"",$B21,$O20))</f>
        <v/>
      </c>
    </row>
    <row r="22">
      <c r="N22">
        <f>IF($A22="","",IF(COUNTIFS($A$2:$A22,$A22,$C$2:$C22,$C22)=1,1,0))</f>
        <v/>
      </c>
      <c r="O22">
        <f>IF($A22="","",IF($B22&lt;&gt;"",$B22,$O21))</f>
        <v/>
      </c>
    </row>
    <row r="23">
      <c r="N23">
        <f>IF($A23="","",IF(COUNTIFS($A$2:$A23,$A23,$C$2:$C23,$C23)=1,1,0))</f>
        <v/>
      </c>
      <c r="O23">
        <f>IF($A23="","",IF($B23&lt;&gt;"",$B23,$O22))</f>
        <v/>
      </c>
    </row>
    <row r="24">
      <c r="N24">
        <f>IF($A24="","",IF(COUNTIFS($A$2:$A24,$A24,$C$2:$C24,$C24)=1,1,0))</f>
        <v/>
      </c>
      <c r="O24">
        <f>IF($A24="","",IF($B24&lt;&gt;"",$B24,$O23))</f>
        <v/>
      </c>
    </row>
    <row r="25">
      <c r="N25">
        <f>IF($A25="","",IF(COUNTIFS($A$2:$A25,$A25,$C$2:$C25,$C25)=1,1,0))</f>
        <v/>
      </c>
      <c r="O25">
        <f>IF($A25="","",IF($B25&lt;&gt;"",$B25,$O24))</f>
        <v/>
      </c>
    </row>
    <row r="26">
      <c r="N26">
        <f>IF($A26="","",IF(COUNTIFS($A$2:$A26,$A26,$C$2:$C26,$C26)=1,1,0))</f>
        <v/>
      </c>
      <c r="O26">
        <f>IF($A26="","",IF($B26&lt;&gt;"",$B26,$O25))</f>
        <v/>
      </c>
    </row>
    <row r="27">
      <c r="N27">
        <f>IF($A27="","",IF(COUNTIFS($A$2:$A27,$A27,$C$2:$C27,$C27)=1,1,0))</f>
        <v/>
      </c>
      <c r="O27">
        <f>IF($A27="","",IF($B27&lt;&gt;"",$B27,$O26))</f>
        <v/>
      </c>
    </row>
    <row r="28">
      <c r="N28">
        <f>IF($A28="","",IF(COUNTIFS($A$2:$A28,$A28,$C$2:$C28,$C28)=1,1,0))</f>
        <v/>
      </c>
      <c r="O28">
        <f>IF($A28="","",IF($B28&lt;&gt;"",$B28,$O27))</f>
        <v/>
      </c>
    </row>
    <row r="29">
      <c r="N29">
        <f>IF($A29="","",IF(COUNTIFS($A$2:$A29,$A29,$C$2:$C29,$C29)=1,1,0))</f>
        <v/>
      </c>
      <c r="O29">
        <f>IF($A29="","",IF($B29&lt;&gt;"",$B29,$O28))</f>
        <v/>
      </c>
    </row>
    <row r="30">
      <c r="N30">
        <f>IF($A30="","",IF(COUNTIFS($A$2:$A30,$A30,$C$2:$C30,$C30)=1,1,0))</f>
        <v/>
      </c>
      <c r="O30">
        <f>IF($A30="","",IF($B30&lt;&gt;"",$B30,$O29))</f>
        <v/>
      </c>
    </row>
    <row r="31">
      <c r="N31">
        <f>IF($A31="","",IF(COUNTIFS($A$2:$A31,$A31,$C$2:$C31,$C31)=1,1,0))</f>
        <v/>
      </c>
      <c r="O31">
        <f>IF($A31="","",IF($B31&lt;&gt;"",$B31,$O30))</f>
        <v/>
      </c>
    </row>
    <row r="32">
      <c r="N32">
        <f>IF($A32="","",IF(COUNTIFS($A$2:$A32,$A32,$C$2:$C32,$C32)=1,1,0))</f>
        <v/>
      </c>
      <c r="O32">
        <f>IF($A32="","",IF($B32&lt;&gt;"",$B32,$O31))</f>
        <v/>
      </c>
    </row>
    <row r="33">
      <c r="N33">
        <f>IF($A33="","",IF(COUNTIFS($A$2:$A33,$A33,$C$2:$C33,$C33)=1,1,0))</f>
        <v/>
      </c>
      <c r="O33">
        <f>IF($A33="","",IF($B33&lt;&gt;"",$B33,$O32))</f>
        <v/>
      </c>
    </row>
    <row r="34">
      <c r="N34">
        <f>IF($A34="","",IF(COUNTIFS($A$2:$A34,$A34,$C$2:$C34,$C34)=1,1,0))</f>
        <v/>
      </c>
      <c r="O34">
        <f>IF($A34="","",IF($B34&lt;&gt;"",$B34,$O33))</f>
        <v/>
      </c>
    </row>
    <row r="35">
      <c r="N35">
        <f>IF($A35="","",IF(COUNTIFS($A$2:$A35,$A35,$C$2:$C35,$C35)=1,1,0))</f>
        <v/>
      </c>
      <c r="O35">
        <f>IF($A35="","",IF($B35&lt;&gt;"",$B35,$O34))</f>
        <v/>
      </c>
    </row>
    <row r="36">
      <c r="N36">
        <f>IF($A36="","",IF(COUNTIFS($A$2:$A36,$A36,$C$2:$C36,$C36)=1,1,0))</f>
        <v/>
      </c>
      <c r="O36">
        <f>IF($A36="","",IF($B36&lt;&gt;"",$B36,$O35))</f>
        <v/>
      </c>
    </row>
    <row r="37">
      <c r="N37">
        <f>IF($A37="","",IF(COUNTIFS($A$2:$A37,$A37,$C$2:$C37,$C37)=1,1,0))</f>
        <v/>
      </c>
      <c r="O37">
        <f>IF($A37="","",IF($B37&lt;&gt;"",$B37,$O36))</f>
        <v/>
      </c>
    </row>
    <row r="38">
      <c r="N38">
        <f>IF($A38="","",IF(COUNTIFS($A$2:$A38,$A38,$C$2:$C38,$C38)=1,1,0))</f>
        <v/>
      </c>
      <c r="O38">
        <f>IF($A38="","",IF($B38&lt;&gt;"",$B38,$O37))</f>
        <v/>
      </c>
    </row>
    <row r="39">
      <c r="N39">
        <f>IF($A39="","",IF(COUNTIFS($A$2:$A39,$A39,$C$2:$C39,$C39)=1,1,0))</f>
        <v/>
      </c>
      <c r="O39">
        <f>IF($A39="","",IF($B39&lt;&gt;"",$B39,$O38))</f>
        <v/>
      </c>
    </row>
    <row r="40">
      <c r="N40">
        <f>IF($A40="","",IF(COUNTIFS($A$2:$A40,$A40,$C$2:$C40,$C40)=1,1,0))</f>
        <v/>
      </c>
      <c r="O40">
        <f>IF($A40="","",IF($B40&lt;&gt;"",$B40,$O39))</f>
        <v/>
      </c>
    </row>
    <row r="41">
      <c r="N41">
        <f>IF($A41="","",IF(COUNTIFS($A$2:$A41,$A41,$C$2:$C41,$C41)=1,1,0))</f>
        <v/>
      </c>
      <c r="O41">
        <f>IF($A41="","",IF($B41&lt;&gt;"",$B41,$O40))</f>
        <v/>
      </c>
    </row>
    <row r="42">
      <c r="N42">
        <f>IF($A42="","",IF(COUNTIFS($A$2:$A42,$A42,$C$2:$C42,$C42)=1,1,0))</f>
        <v/>
      </c>
      <c r="O42">
        <f>IF($A42="","",IF($B42&lt;&gt;"",$B42,$O41))</f>
        <v/>
      </c>
    </row>
    <row r="43">
      <c r="N43">
        <f>IF($A43="","",IF(COUNTIFS($A$2:$A43,$A43,$C$2:$C43,$C43)=1,1,0))</f>
        <v/>
      </c>
      <c r="O43">
        <f>IF($A43="","",IF($B43&lt;&gt;"",$B43,$O42))</f>
        <v/>
      </c>
    </row>
    <row r="44">
      <c r="N44">
        <f>IF($A44="","",IF(COUNTIFS($A$2:$A44,$A44,$C$2:$C44,$C44)=1,1,0))</f>
        <v/>
      </c>
      <c r="O44">
        <f>IF($A44="","",IF($B44&lt;&gt;"",$B44,$O43))</f>
        <v/>
      </c>
    </row>
    <row r="45">
      <c r="N45">
        <f>IF($A45="","",IF(COUNTIFS($A$2:$A45,$A45,$C$2:$C45,$C45)=1,1,0))</f>
        <v/>
      </c>
      <c r="O45">
        <f>IF($A45="","",IF($B45&lt;&gt;"",$B45,$O44))</f>
        <v/>
      </c>
    </row>
    <row r="46">
      <c r="N46">
        <f>IF($A46="","",IF(COUNTIFS($A$2:$A46,$A46,$C$2:$C46,$C46)=1,1,0))</f>
        <v/>
      </c>
      <c r="O46">
        <f>IF($A46="","",IF($B46&lt;&gt;"",$B46,$O45))</f>
        <v/>
      </c>
    </row>
    <row r="47">
      <c r="N47">
        <f>IF($A47="","",IF(COUNTIFS($A$2:$A47,$A47,$C$2:$C47,$C47)=1,1,0))</f>
        <v/>
      </c>
      <c r="O47">
        <f>IF($A47="","",IF($B47&lt;&gt;"",$B47,$O46))</f>
        <v/>
      </c>
    </row>
    <row r="48">
      <c r="N48">
        <f>IF($A48="","",IF(COUNTIFS($A$2:$A48,$A48,$C$2:$C48,$C48)=1,1,0))</f>
        <v/>
      </c>
      <c r="O48">
        <f>IF($A48="","",IF($B48&lt;&gt;"",$B48,$O47))</f>
        <v/>
      </c>
    </row>
    <row r="49">
      <c r="N49">
        <f>IF($A49="","",IF(COUNTIFS($A$2:$A49,$A49,$C$2:$C49,$C49)=1,1,0))</f>
        <v/>
      </c>
      <c r="O49">
        <f>IF($A49="","",IF($B49&lt;&gt;"",$B49,$O48))</f>
        <v/>
      </c>
    </row>
    <row r="50">
      <c r="N50">
        <f>IF($A50="","",IF(COUNTIFS($A$2:$A50,$A50,$C$2:$C50,$C50)=1,1,0))</f>
        <v/>
      </c>
      <c r="O50">
        <f>IF($A50="","",IF($B50&lt;&gt;"",$B50,$O49))</f>
        <v/>
      </c>
    </row>
    <row r="51">
      <c r="N51">
        <f>IF($A51="","",IF(COUNTIFS($A$2:$A51,$A51,$C$2:$C51,$C51)=1,1,0))</f>
        <v/>
      </c>
      <c r="O51">
        <f>IF($A51="","",IF($B51&lt;&gt;"",$B51,$O50))</f>
        <v/>
      </c>
    </row>
    <row r="52">
      <c r="N52">
        <f>IF($A52="","",IF(COUNTIFS($A$2:$A52,$A52,$C$2:$C52,$C52)=1,1,0))</f>
        <v/>
      </c>
      <c r="O52">
        <f>IF($A52="","",IF($B52&lt;&gt;"",$B52,$O51))</f>
        <v/>
      </c>
    </row>
    <row r="53">
      <c r="N53">
        <f>IF($A53="","",IF(COUNTIFS($A$2:$A53,$A53,$C$2:$C53,$C53)=1,1,0))</f>
        <v/>
      </c>
      <c r="O53">
        <f>IF($A53="","",IF($B53&lt;&gt;"",$B53,$O52))</f>
        <v/>
      </c>
    </row>
    <row r="54">
      <c r="N54">
        <f>IF($A54="","",IF(COUNTIFS($A$2:$A54,$A54,$C$2:$C54,$C54)=1,1,0))</f>
        <v/>
      </c>
      <c r="O54">
        <f>IF($A54="","",IF($B54&lt;&gt;"",$B54,$O53))</f>
        <v/>
      </c>
    </row>
    <row r="55">
      <c r="N55">
        <f>IF($A55="","",IF(COUNTIFS($A$2:$A55,$A55,$C$2:$C55,$C55)=1,1,0))</f>
        <v/>
      </c>
      <c r="O55">
        <f>IF($A55="","",IF($B55&lt;&gt;"",$B55,$O54))</f>
        <v/>
      </c>
    </row>
    <row r="56">
      <c r="N56">
        <f>IF($A56="","",IF(COUNTIFS($A$2:$A56,$A56,$C$2:$C56,$C56)=1,1,0))</f>
        <v/>
      </c>
      <c r="O56">
        <f>IF($A56="","",IF($B56&lt;&gt;"",$B56,$O55))</f>
        <v/>
      </c>
    </row>
    <row r="57">
      <c r="N57">
        <f>IF($A57="","",IF(COUNTIFS($A$2:$A57,$A57,$C$2:$C57,$C57)=1,1,0))</f>
        <v/>
      </c>
      <c r="O57">
        <f>IF($A57="","",IF($B57&lt;&gt;"",$B57,$O56))</f>
        <v/>
      </c>
    </row>
    <row r="58">
      <c r="N58">
        <f>IF($A58="","",IF(COUNTIFS($A$2:$A58,$A58,$C$2:$C58,$C58)=1,1,0))</f>
        <v/>
      </c>
      <c r="O58">
        <f>IF($A58="","",IF($B58&lt;&gt;"",$B58,$O57))</f>
        <v/>
      </c>
    </row>
    <row r="59">
      <c r="N59">
        <f>IF($A59="","",IF(COUNTIFS($A$2:$A59,$A59,$C$2:$C59,$C59)=1,1,0))</f>
        <v/>
      </c>
      <c r="O59">
        <f>IF($A59="","",IF($B59&lt;&gt;"",$B59,$O58))</f>
        <v/>
      </c>
    </row>
    <row r="60">
      <c r="N60">
        <f>IF($A60="","",IF(COUNTIFS($A$2:$A60,$A60,$C$2:$C60,$C60)=1,1,0))</f>
        <v/>
      </c>
      <c r="O60">
        <f>IF($A60="","",IF($B60&lt;&gt;"",$B60,$O59))</f>
        <v/>
      </c>
    </row>
    <row r="61">
      <c r="N61">
        <f>IF($A61="","",IF(COUNTIFS($A$2:$A61,$A61,$C$2:$C61,$C61)=1,1,0))</f>
        <v/>
      </c>
      <c r="O61">
        <f>IF($A61="","",IF($B61&lt;&gt;"",$B61,$O60))</f>
        <v/>
      </c>
    </row>
    <row r="62">
      <c r="N62">
        <f>IF($A62="","",IF(COUNTIFS($A$2:$A62,$A62,$C$2:$C62,$C62)=1,1,0))</f>
        <v/>
      </c>
      <c r="O62">
        <f>IF($A62="","",IF($B62&lt;&gt;"",$B62,$O61))</f>
        <v/>
      </c>
    </row>
    <row r="63">
      <c r="N63">
        <f>IF($A63="","",IF(COUNTIFS($A$2:$A63,$A63,$C$2:$C63,$C63)=1,1,0))</f>
        <v/>
      </c>
      <c r="O63">
        <f>IF($A63="","",IF($B63&lt;&gt;"",$B63,$O62))</f>
        <v/>
      </c>
    </row>
    <row r="64">
      <c r="N64">
        <f>IF($A64="","",IF(COUNTIFS($A$2:$A64,$A64,$C$2:$C64,$C64)=1,1,0))</f>
        <v/>
      </c>
      <c r="O64">
        <f>IF($A64="","",IF($B64&lt;&gt;"",$B64,$O63))</f>
        <v/>
      </c>
    </row>
    <row r="65">
      <c r="N65">
        <f>IF($A65="","",IF(COUNTIFS($A$2:$A65,$A65,$C$2:$C65,$C65)=1,1,0))</f>
        <v/>
      </c>
      <c r="O65">
        <f>IF($A65="","",IF($B65&lt;&gt;"",$B65,$O64))</f>
        <v/>
      </c>
    </row>
    <row r="66">
      <c r="N66">
        <f>IF($A66="","",IF(COUNTIFS($A$2:$A66,$A66,$C$2:$C66,$C66)=1,1,0))</f>
        <v/>
      </c>
      <c r="O66">
        <f>IF($A66="","",IF($B66&lt;&gt;"",$B66,$O65))</f>
        <v/>
      </c>
    </row>
    <row r="67">
      <c r="N67">
        <f>IF($A67="","",IF(COUNTIFS($A$2:$A67,$A67,$C$2:$C67,$C67)=1,1,0))</f>
        <v/>
      </c>
      <c r="O67">
        <f>IF($A67="","",IF($B67&lt;&gt;"",$B67,$O66))</f>
        <v/>
      </c>
    </row>
    <row r="68">
      <c r="N68">
        <f>IF($A68="","",IF(COUNTIFS($A$2:$A68,$A68,$C$2:$C68,$C68)=1,1,0))</f>
        <v/>
      </c>
      <c r="O68">
        <f>IF($A68="","",IF($B68&lt;&gt;"",$B68,$O67))</f>
        <v/>
      </c>
    </row>
    <row r="69">
      <c r="N69">
        <f>IF($A69="","",IF(COUNTIFS($A$2:$A69,$A69,$C$2:$C69,$C69)=1,1,0))</f>
        <v/>
      </c>
      <c r="O69">
        <f>IF($A69="","",IF($B69&lt;&gt;"",$B69,$O68))</f>
        <v/>
      </c>
    </row>
    <row r="70">
      <c r="N70">
        <f>IF($A70="","",IF(COUNTIFS($A$2:$A70,$A70,$C$2:$C70,$C70)=1,1,0))</f>
        <v/>
      </c>
      <c r="O70">
        <f>IF($A70="","",IF($B70&lt;&gt;"",$B70,$O69))</f>
        <v/>
      </c>
    </row>
    <row r="71">
      <c r="N71">
        <f>IF($A71="","",IF(COUNTIFS($A$2:$A71,$A71,$C$2:$C71,$C71)=1,1,0))</f>
        <v/>
      </c>
      <c r="O71">
        <f>IF($A71="","",IF($B71&lt;&gt;"",$B71,$O70))</f>
        <v/>
      </c>
    </row>
    <row r="72">
      <c r="N72">
        <f>IF($A72="","",IF(COUNTIFS($A$2:$A72,$A72,$C$2:$C72,$C72)=1,1,0))</f>
        <v/>
      </c>
      <c r="O72">
        <f>IF($A72="","",IF($B72&lt;&gt;"",$B72,$O71))</f>
        <v/>
      </c>
    </row>
    <row r="73">
      <c r="N73">
        <f>IF($A73="","",IF(COUNTIFS($A$2:$A73,$A73,$C$2:$C73,$C73)=1,1,0))</f>
        <v/>
      </c>
      <c r="O73">
        <f>IF($A73="","",IF($B73&lt;&gt;"",$B73,$O72))</f>
        <v/>
      </c>
    </row>
    <row r="74">
      <c r="N74">
        <f>IF($A74="","",IF(COUNTIFS($A$2:$A74,$A74,$C$2:$C74,$C74)=1,1,0))</f>
        <v/>
      </c>
      <c r="O74">
        <f>IF($A74="","",IF($B74&lt;&gt;"",$B74,$O73))</f>
        <v/>
      </c>
    </row>
    <row r="75">
      <c r="N75">
        <f>IF($A75="","",IF(COUNTIFS($A$2:$A75,$A75,$C$2:$C75,$C75)=1,1,0))</f>
        <v/>
      </c>
      <c r="O75">
        <f>IF($A75="","",IF($B75&lt;&gt;"",$B75,$O74))</f>
        <v/>
      </c>
    </row>
    <row r="76">
      <c r="N76">
        <f>IF($A76="","",IF(COUNTIFS($A$2:$A76,$A76,$C$2:$C76,$C76)=1,1,0))</f>
        <v/>
      </c>
      <c r="O76">
        <f>IF($A76="","",IF($B76&lt;&gt;"",$B76,$O75))</f>
        <v/>
      </c>
    </row>
    <row r="77">
      <c r="N77">
        <f>IF($A77="","",IF(COUNTIFS($A$2:$A77,$A77,$C$2:$C77,$C77)=1,1,0))</f>
        <v/>
      </c>
      <c r="O77">
        <f>IF($A77="","",IF($B77&lt;&gt;"",$B77,$O76))</f>
        <v/>
      </c>
    </row>
    <row r="78">
      <c r="N78">
        <f>IF($A78="","",IF(COUNTIFS($A$2:$A78,$A78,$C$2:$C78,$C78)=1,1,0))</f>
        <v/>
      </c>
      <c r="O78">
        <f>IF($A78="","",IF($B78&lt;&gt;"",$B78,$O77))</f>
        <v/>
      </c>
    </row>
    <row r="79">
      <c r="N79">
        <f>IF($A79="","",IF(COUNTIFS($A$2:$A79,$A79,$C$2:$C79,$C79)=1,1,0))</f>
        <v/>
      </c>
      <c r="O79">
        <f>IF($A79="","",IF($B79&lt;&gt;"",$B79,$O78))</f>
        <v/>
      </c>
    </row>
    <row r="80">
      <c r="N80">
        <f>IF($A80="","",IF(COUNTIFS($A$2:$A80,$A80,$C$2:$C80,$C80)=1,1,0))</f>
        <v/>
      </c>
      <c r="O80">
        <f>IF($A80="","",IF($B80&lt;&gt;"",$B80,$O79))</f>
        <v/>
      </c>
    </row>
    <row r="81">
      <c r="N81">
        <f>IF($A81="","",IF(COUNTIFS($A$2:$A81,$A81,$C$2:$C81,$C81)=1,1,0))</f>
        <v/>
      </c>
      <c r="O81">
        <f>IF($A81="","",IF($B81&lt;&gt;"",$B81,$O80))</f>
        <v/>
      </c>
    </row>
    <row r="82">
      <c r="N82">
        <f>IF($A82="","",IF(COUNTIFS($A$2:$A82,$A82,$C$2:$C82,$C82)=1,1,0))</f>
        <v/>
      </c>
      <c r="O82">
        <f>IF($A82="","",IF($B82&lt;&gt;"",$B82,$O81))</f>
        <v/>
      </c>
    </row>
    <row r="83">
      <c r="N83">
        <f>IF($A83="","",IF(COUNTIFS($A$2:$A83,$A83,$C$2:$C83,$C83)=1,1,0))</f>
        <v/>
      </c>
      <c r="O83">
        <f>IF($A83="","",IF($B83&lt;&gt;"",$B83,$O82))</f>
        <v/>
      </c>
    </row>
    <row r="84">
      <c r="N84">
        <f>IF($A84="","",IF(COUNTIFS($A$2:$A84,$A84,$C$2:$C84,$C84)=1,1,0))</f>
        <v/>
      </c>
      <c r="O84">
        <f>IF($A84="","",IF($B84&lt;&gt;"",$B84,$O83))</f>
        <v/>
      </c>
    </row>
    <row r="85">
      <c r="N85">
        <f>IF($A85="","",IF(COUNTIFS($A$2:$A85,$A85,$C$2:$C85,$C85)=1,1,0))</f>
        <v/>
      </c>
      <c r="O85">
        <f>IF($A85="","",IF($B85&lt;&gt;"",$B85,$O84))</f>
        <v/>
      </c>
    </row>
    <row r="86">
      <c r="N86">
        <f>IF($A86="","",IF(COUNTIFS($A$2:$A86,$A86,$C$2:$C86,$C86)=1,1,0))</f>
        <v/>
      </c>
      <c r="O86">
        <f>IF($A86="","",IF($B86&lt;&gt;"",$B86,$O85))</f>
        <v/>
      </c>
    </row>
    <row r="87">
      <c r="N87">
        <f>IF($A87="","",IF(COUNTIFS($A$2:$A87,$A87,$C$2:$C87,$C87)=1,1,0))</f>
        <v/>
      </c>
      <c r="O87">
        <f>IF($A87="","",IF($B87&lt;&gt;"",$B87,$O86))</f>
        <v/>
      </c>
    </row>
    <row r="88">
      <c r="N88">
        <f>IF($A88="","",IF(COUNTIFS($A$2:$A88,$A88,$C$2:$C88,$C88)=1,1,0))</f>
        <v/>
      </c>
      <c r="O88">
        <f>IF($A88="","",IF($B88&lt;&gt;"",$B88,$O87))</f>
        <v/>
      </c>
    </row>
    <row r="89">
      <c r="N89">
        <f>IF($A89="","",IF(COUNTIFS($A$2:$A89,$A89,$C$2:$C89,$C89)=1,1,0))</f>
        <v/>
      </c>
      <c r="O89">
        <f>IF($A89="","",IF($B89&lt;&gt;"",$B89,$O88))</f>
        <v/>
      </c>
    </row>
    <row r="90">
      <c r="N90">
        <f>IF($A90="","",IF(COUNTIFS($A$2:$A90,$A90,$C$2:$C90,$C90)=1,1,0))</f>
        <v/>
      </c>
      <c r="O90">
        <f>IF($A90="","",IF($B90&lt;&gt;"",$B90,$O89))</f>
        <v/>
      </c>
    </row>
    <row r="91">
      <c r="N91">
        <f>IF($A91="","",IF(COUNTIFS($A$2:$A91,$A91,$C$2:$C91,$C91)=1,1,0))</f>
        <v/>
      </c>
      <c r="O91">
        <f>IF($A91="","",IF($B91&lt;&gt;"",$B91,$O90))</f>
        <v/>
      </c>
    </row>
    <row r="92">
      <c r="N92">
        <f>IF($A92="","",IF(COUNTIFS($A$2:$A92,$A92,$C$2:$C92,$C92)=1,1,0))</f>
        <v/>
      </c>
      <c r="O92">
        <f>IF($A92="","",IF($B92&lt;&gt;"",$B92,$O91))</f>
        <v/>
      </c>
    </row>
    <row r="93">
      <c r="N93">
        <f>IF($A93="","",IF(COUNTIFS($A$2:$A93,$A93,$C$2:$C93,$C93)=1,1,0))</f>
        <v/>
      </c>
      <c r="O93">
        <f>IF($A93="","",IF($B93&lt;&gt;"",$B93,$O92))</f>
        <v/>
      </c>
    </row>
    <row r="94">
      <c r="N94">
        <f>IF($A94="","",IF(COUNTIFS($A$2:$A94,$A94,$C$2:$C94,$C94)=1,1,0))</f>
        <v/>
      </c>
      <c r="O94">
        <f>IF($A94="","",IF($B94&lt;&gt;"",$B94,$O93))</f>
        <v/>
      </c>
    </row>
    <row r="95">
      <c r="N95">
        <f>IF($A95="","",IF(COUNTIFS($A$2:$A95,$A95,$C$2:$C95,$C95)=1,1,0))</f>
        <v/>
      </c>
      <c r="O95">
        <f>IF($A95="","",IF($B95&lt;&gt;"",$B95,$O94))</f>
        <v/>
      </c>
    </row>
    <row r="96">
      <c r="N96">
        <f>IF($A96="","",IF(COUNTIFS($A$2:$A96,$A96,$C$2:$C96,$C96)=1,1,0))</f>
        <v/>
      </c>
      <c r="O96">
        <f>IF($A96="","",IF($B96&lt;&gt;"",$B96,$O95))</f>
        <v/>
      </c>
    </row>
    <row r="97">
      <c r="N97">
        <f>IF($A97="","",IF(COUNTIFS($A$2:$A97,$A97,$C$2:$C97,$C97)=1,1,0))</f>
        <v/>
      </c>
      <c r="O97">
        <f>IF($A97="","",IF($B97&lt;&gt;"",$B97,$O96))</f>
        <v/>
      </c>
    </row>
    <row r="98">
      <c r="N98">
        <f>IF($A98="","",IF(COUNTIFS($A$2:$A98,$A98,$C$2:$C98,$C98)=1,1,0))</f>
        <v/>
      </c>
      <c r="O98">
        <f>IF($A98="","",IF($B98&lt;&gt;"",$B98,$O97))</f>
        <v/>
      </c>
    </row>
    <row r="99">
      <c r="N99">
        <f>IF($A99="","",IF(COUNTIFS($A$2:$A99,$A99,$C$2:$C99,$C99)=1,1,0))</f>
        <v/>
      </c>
      <c r="O99">
        <f>IF($A99="","",IF($B99&lt;&gt;"",$B99,$O98))</f>
        <v/>
      </c>
    </row>
    <row r="100">
      <c r="N100">
        <f>IF($A100="","",IF(COUNTIFS($A$2:$A100,$A100,$C$2:$C100,$C100)=1,1,0))</f>
        <v/>
      </c>
      <c r="O100">
        <f>IF($A100="","",IF($B100&lt;&gt;"",$B100,$O99))</f>
        <v/>
      </c>
    </row>
    <row r="101">
      <c r="N101">
        <f>IF($A101="","",IF(COUNTIFS($A$2:$A101,$A101,$C$2:$C101,$C101)=1,1,0))</f>
        <v/>
      </c>
      <c r="O101">
        <f>IF($A101="","",IF($B101&lt;&gt;"",$B101,$O100))</f>
        <v/>
      </c>
    </row>
    <row r="102">
      <c r="N102">
        <f>IF($A102="","",IF(COUNTIFS($A$2:$A102,$A102,$C$2:$C102,$C102)=1,1,0))</f>
        <v/>
      </c>
      <c r="O102">
        <f>IF($A102="","",IF($B102&lt;&gt;"",$B102,$O101))</f>
        <v/>
      </c>
    </row>
    <row r="103">
      <c r="N103">
        <f>IF($A103="","",IF(COUNTIFS($A$2:$A103,$A103,$C$2:$C103,$C103)=1,1,0))</f>
        <v/>
      </c>
      <c r="O103">
        <f>IF($A103="","",IF($B103&lt;&gt;"",$B103,$O102))</f>
        <v/>
      </c>
    </row>
    <row r="104">
      <c r="N104">
        <f>IF($A104="","",IF(COUNTIFS($A$2:$A104,$A104,$C$2:$C104,$C104)=1,1,0))</f>
        <v/>
      </c>
      <c r="O104">
        <f>IF($A104="","",IF($B104&lt;&gt;"",$B104,$O103))</f>
        <v/>
      </c>
    </row>
    <row r="105">
      <c r="N105">
        <f>IF($A105="","",IF(COUNTIFS($A$2:$A105,$A105,$C$2:$C105,$C105)=1,1,0))</f>
        <v/>
      </c>
      <c r="O105">
        <f>IF($A105="","",IF($B105&lt;&gt;"",$B105,$O104))</f>
        <v/>
      </c>
    </row>
    <row r="106">
      <c r="N106">
        <f>IF($A106="","",IF(COUNTIFS($A$2:$A106,$A106,$C$2:$C106,$C106)=1,1,0))</f>
        <v/>
      </c>
      <c r="O106">
        <f>IF($A106="","",IF($B106&lt;&gt;"",$B106,$O105))</f>
        <v/>
      </c>
    </row>
    <row r="107">
      <c r="N107">
        <f>IF($A107="","",IF(COUNTIFS($A$2:$A107,$A107,$C$2:$C107,$C107)=1,1,0))</f>
        <v/>
      </c>
      <c r="O107">
        <f>IF($A107="","",IF($B107&lt;&gt;"",$B107,$O106))</f>
        <v/>
      </c>
    </row>
    <row r="108">
      <c r="N108">
        <f>IF($A108="","",IF(COUNTIFS($A$2:$A108,$A108,$C$2:$C108,$C108)=1,1,0))</f>
        <v/>
      </c>
      <c r="O108">
        <f>IF($A108="","",IF($B108&lt;&gt;"",$B108,$O107))</f>
        <v/>
      </c>
    </row>
    <row r="109">
      <c r="N109">
        <f>IF($A109="","",IF(COUNTIFS($A$2:$A109,$A109,$C$2:$C109,$C109)=1,1,0))</f>
        <v/>
      </c>
      <c r="O109">
        <f>IF($A109="","",IF($B109&lt;&gt;"",$B109,$O108))</f>
        <v/>
      </c>
    </row>
    <row r="110">
      <c r="N110">
        <f>IF($A110="","",IF(COUNTIFS($A$2:$A110,$A110,$C$2:$C110,$C110)=1,1,0))</f>
        <v/>
      </c>
      <c r="O110">
        <f>IF($A110="","",IF($B110&lt;&gt;"",$B110,$O109))</f>
        <v/>
      </c>
    </row>
    <row r="111">
      <c r="N111">
        <f>IF($A111="","",IF(COUNTIFS($A$2:$A111,$A111,$C$2:$C111,$C111)=1,1,0))</f>
        <v/>
      </c>
      <c r="O111">
        <f>IF($A111="","",IF($B111&lt;&gt;"",$B111,$O110))</f>
        <v/>
      </c>
    </row>
    <row r="112">
      <c r="N112">
        <f>IF($A112="","",IF(COUNTIFS($A$2:$A112,$A112,$C$2:$C112,$C112)=1,1,0))</f>
        <v/>
      </c>
      <c r="O112">
        <f>IF($A112="","",IF($B112&lt;&gt;"",$B112,$O111))</f>
        <v/>
      </c>
    </row>
    <row r="113">
      <c r="N113">
        <f>IF($A113="","",IF(COUNTIFS($A$2:$A113,$A113,$C$2:$C113,$C113)=1,1,0))</f>
        <v/>
      </c>
      <c r="O113">
        <f>IF($A113="","",IF($B113&lt;&gt;"",$B113,$O112))</f>
        <v/>
      </c>
    </row>
    <row r="114">
      <c r="N114">
        <f>IF($A114="","",IF(COUNTIFS($A$2:$A114,$A114,$C$2:$C114,$C114)=1,1,0))</f>
        <v/>
      </c>
      <c r="O114">
        <f>IF($A114="","",IF($B114&lt;&gt;"",$B114,$O113))</f>
        <v/>
      </c>
    </row>
    <row r="115">
      <c r="N115">
        <f>IF($A115="","",IF(COUNTIFS($A$2:$A115,$A115,$C$2:$C115,$C115)=1,1,0))</f>
        <v/>
      </c>
      <c r="O115">
        <f>IF($A115="","",IF($B115&lt;&gt;"",$B115,$O114))</f>
        <v/>
      </c>
    </row>
    <row r="116">
      <c r="N116">
        <f>IF($A116="","",IF(COUNTIFS($A$2:$A116,$A116,$C$2:$C116,$C116)=1,1,0))</f>
        <v/>
      </c>
      <c r="O116">
        <f>IF($A116="","",IF($B116&lt;&gt;"",$B116,$O115))</f>
        <v/>
      </c>
    </row>
    <row r="117">
      <c r="N117">
        <f>IF($A117="","",IF(COUNTIFS($A$2:$A117,$A117,$C$2:$C117,$C117)=1,1,0))</f>
        <v/>
      </c>
      <c r="O117">
        <f>IF($A117="","",IF($B117&lt;&gt;"",$B117,$O116))</f>
        <v/>
      </c>
    </row>
    <row r="118">
      <c r="N118">
        <f>IF($A118="","",IF(COUNTIFS($A$2:$A118,$A118,$C$2:$C118,$C118)=1,1,0))</f>
        <v/>
      </c>
      <c r="O118">
        <f>IF($A118="","",IF($B118&lt;&gt;"",$B118,$O117))</f>
        <v/>
      </c>
    </row>
    <row r="119">
      <c r="N119">
        <f>IF($A119="","",IF(COUNTIFS($A$2:$A119,$A119,$C$2:$C119,$C119)=1,1,0))</f>
        <v/>
      </c>
      <c r="O119">
        <f>IF($A119="","",IF($B119&lt;&gt;"",$B119,$O118))</f>
        <v/>
      </c>
    </row>
    <row r="120">
      <c r="N120">
        <f>IF($A120="","",IF(COUNTIFS($A$2:$A120,$A120,$C$2:$C120,$C120)=1,1,0))</f>
        <v/>
      </c>
      <c r="O120">
        <f>IF($A120="","",IF($B120&lt;&gt;"",$B120,$O119))</f>
        <v/>
      </c>
    </row>
    <row r="121">
      <c r="N121">
        <f>IF($A121="","",IF(COUNTIFS($A$2:$A121,$A121,$C$2:$C121,$C121)=1,1,0))</f>
        <v/>
      </c>
      <c r="O121">
        <f>IF($A121="","",IF($B121&lt;&gt;"",$B121,$O120))</f>
        <v/>
      </c>
    </row>
    <row r="122">
      <c r="N122">
        <f>IF($A122="","",IF(COUNTIFS($A$2:$A122,$A122,$C$2:$C122,$C122)=1,1,0))</f>
        <v/>
      </c>
      <c r="O122">
        <f>IF($A122="","",IF($B122&lt;&gt;"",$B122,$O121))</f>
        <v/>
      </c>
    </row>
    <row r="123">
      <c r="N123">
        <f>IF($A123="","",IF(COUNTIFS($A$2:$A123,$A123,$C$2:$C123,$C123)=1,1,0))</f>
        <v/>
      </c>
      <c r="O123">
        <f>IF($A123="","",IF($B123&lt;&gt;"",$B123,$O122))</f>
        <v/>
      </c>
    </row>
    <row r="124">
      <c r="N124">
        <f>IF($A124="","",IF(COUNTIFS($A$2:$A124,$A124,$C$2:$C124,$C124)=1,1,0))</f>
        <v/>
      </c>
      <c r="O124">
        <f>IF($A124="","",IF($B124&lt;&gt;"",$B124,$O123))</f>
        <v/>
      </c>
    </row>
    <row r="125">
      <c r="N125">
        <f>IF($A125="","",IF(COUNTIFS($A$2:$A125,$A125,$C$2:$C125,$C125)=1,1,0))</f>
        <v/>
      </c>
      <c r="O125">
        <f>IF($A125="","",IF($B125&lt;&gt;"",$B125,$O124))</f>
        <v/>
      </c>
    </row>
    <row r="126">
      <c r="N126">
        <f>IF($A126="","",IF(COUNTIFS($A$2:$A126,$A126,$C$2:$C126,$C126)=1,1,0))</f>
        <v/>
      </c>
      <c r="O126">
        <f>IF($A126="","",IF($B126&lt;&gt;"",$B126,$O125))</f>
        <v/>
      </c>
    </row>
    <row r="127">
      <c r="N127">
        <f>IF($A127="","",IF(COUNTIFS($A$2:$A127,$A127,$C$2:$C127,$C127)=1,1,0))</f>
        <v/>
      </c>
      <c r="O127">
        <f>IF($A127="","",IF($B127&lt;&gt;"",$B127,$O126))</f>
        <v/>
      </c>
    </row>
    <row r="128">
      <c r="N128">
        <f>IF($A128="","",IF(COUNTIFS($A$2:$A128,$A128,$C$2:$C128,$C128)=1,1,0))</f>
        <v/>
      </c>
      <c r="O128">
        <f>IF($A128="","",IF($B128&lt;&gt;"",$B128,$O127))</f>
        <v/>
      </c>
    </row>
    <row r="129">
      <c r="N129">
        <f>IF($A129="","",IF(COUNTIFS($A$2:$A129,$A129,$C$2:$C129,$C129)=1,1,0))</f>
        <v/>
      </c>
      <c r="O129">
        <f>IF($A129="","",IF($B129&lt;&gt;"",$B129,$O128))</f>
        <v/>
      </c>
    </row>
    <row r="130">
      <c r="N130">
        <f>IF($A130="","",IF(COUNTIFS($A$2:$A130,$A130,$C$2:$C130,$C130)=1,1,0))</f>
        <v/>
      </c>
      <c r="O130">
        <f>IF($A130="","",IF($B130&lt;&gt;"",$B130,$O129))</f>
        <v/>
      </c>
    </row>
    <row r="131">
      <c r="N131">
        <f>IF($A131="","",IF(COUNTIFS($A$2:$A131,$A131,$C$2:$C131,$C131)=1,1,0))</f>
        <v/>
      </c>
      <c r="O131">
        <f>IF($A131="","",IF($B131&lt;&gt;"",$B131,$O130))</f>
        <v/>
      </c>
    </row>
    <row r="132">
      <c r="N132">
        <f>IF($A132="","",IF(COUNTIFS($A$2:$A132,$A132,$C$2:$C132,$C132)=1,1,0))</f>
        <v/>
      </c>
      <c r="O132">
        <f>IF($A132="","",IF($B132&lt;&gt;"",$B132,$O131))</f>
        <v/>
      </c>
    </row>
    <row r="133">
      <c r="N133">
        <f>IF($A133="","",IF(COUNTIFS($A$2:$A133,$A133,$C$2:$C133,$C133)=1,1,0))</f>
        <v/>
      </c>
      <c r="O133">
        <f>IF($A133="","",IF($B133&lt;&gt;"",$B133,$O132))</f>
        <v/>
      </c>
    </row>
    <row r="134">
      <c r="N134">
        <f>IF($A134="","",IF(COUNTIFS($A$2:$A134,$A134,$C$2:$C134,$C134)=1,1,0))</f>
        <v/>
      </c>
      <c r="O134">
        <f>IF($A134="","",IF($B134&lt;&gt;"",$B134,$O133))</f>
        <v/>
      </c>
    </row>
    <row r="135">
      <c r="N135">
        <f>IF($A135="","",IF(COUNTIFS($A$2:$A135,$A135,$C$2:$C135,$C135)=1,1,0))</f>
        <v/>
      </c>
      <c r="O135">
        <f>IF($A135="","",IF($B135&lt;&gt;"",$B135,$O134))</f>
        <v/>
      </c>
    </row>
    <row r="136">
      <c r="N136">
        <f>IF($A136="","",IF(COUNTIFS($A$2:$A136,$A136,$C$2:$C136,$C136)=1,1,0))</f>
        <v/>
      </c>
      <c r="O136">
        <f>IF($A136="","",IF($B136&lt;&gt;"",$B136,$O135))</f>
        <v/>
      </c>
    </row>
    <row r="137">
      <c r="N137">
        <f>IF($A137="","",IF(COUNTIFS($A$2:$A137,$A137,$C$2:$C137,$C137)=1,1,0))</f>
        <v/>
      </c>
      <c r="O137">
        <f>IF($A137="","",IF($B137&lt;&gt;"",$B137,$O136))</f>
        <v/>
      </c>
    </row>
    <row r="138">
      <c r="N138">
        <f>IF($A138="","",IF(COUNTIFS($A$2:$A138,$A138,$C$2:$C138,$C138)=1,1,0))</f>
        <v/>
      </c>
      <c r="O138">
        <f>IF($A138="","",IF($B138&lt;&gt;"",$B138,$O137))</f>
        <v/>
      </c>
    </row>
    <row r="139">
      <c r="N139">
        <f>IF($A139="","",IF(COUNTIFS($A$2:$A139,$A139,$C$2:$C139,$C139)=1,1,0))</f>
        <v/>
      </c>
      <c r="O139">
        <f>IF($A139="","",IF($B139&lt;&gt;"",$B139,$O138))</f>
        <v/>
      </c>
    </row>
    <row r="140">
      <c r="N140">
        <f>IF($A140="","",IF(COUNTIFS($A$2:$A140,$A140,$C$2:$C140,$C140)=1,1,0))</f>
        <v/>
      </c>
      <c r="O140">
        <f>IF($A140="","",IF($B140&lt;&gt;"",$B140,$O139))</f>
        <v/>
      </c>
    </row>
    <row r="141">
      <c r="N141">
        <f>IF($A141="","",IF(COUNTIFS($A$2:$A141,$A141,$C$2:$C141,$C141)=1,1,0))</f>
        <v/>
      </c>
      <c r="O141">
        <f>IF($A141="","",IF($B141&lt;&gt;"",$B141,$O140))</f>
        <v/>
      </c>
    </row>
    <row r="142">
      <c r="N142">
        <f>IF($A142="","",IF(COUNTIFS($A$2:$A142,$A142,$C$2:$C142,$C142)=1,1,0))</f>
        <v/>
      </c>
      <c r="O142">
        <f>IF($A142="","",IF($B142&lt;&gt;"",$B142,$O141))</f>
        <v/>
      </c>
    </row>
    <row r="143">
      <c r="N143">
        <f>IF($A143="","",IF(COUNTIFS($A$2:$A143,$A143,$C$2:$C143,$C143)=1,1,0))</f>
        <v/>
      </c>
      <c r="O143">
        <f>IF($A143="","",IF($B143&lt;&gt;"",$B143,$O142))</f>
        <v/>
      </c>
    </row>
    <row r="144">
      <c r="N144">
        <f>IF($A144="","",IF(COUNTIFS($A$2:$A144,$A144,$C$2:$C144,$C144)=1,1,0))</f>
        <v/>
      </c>
      <c r="O144">
        <f>IF($A144="","",IF($B144&lt;&gt;"",$B144,$O143))</f>
        <v/>
      </c>
    </row>
    <row r="145">
      <c r="N145">
        <f>IF($A145="","",IF(COUNTIFS($A$2:$A145,$A145,$C$2:$C145,$C145)=1,1,0))</f>
        <v/>
      </c>
      <c r="O145">
        <f>IF($A145="","",IF($B145&lt;&gt;"",$B145,$O144))</f>
        <v/>
      </c>
    </row>
    <row r="146">
      <c r="N146">
        <f>IF($A146="","",IF(COUNTIFS($A$2:$A146,$A146,$C$2:$C146,$C146)=1,1,0))</f>
        <v/>
      </c>
      <c r="O146">
        <f>IF($A146="","",IF($B146&lt;&gt;"",$B146,$O145))</f>
        <v/>
      </c>
    </row>
    <row r="147">
      <c r="N147">
        <f>IF($A147="","",IF(COUNTIFS($A$2:$A147,$A147,$C$2:$C147,$C147)=1,1,0))</f>
        <v/>
      </c>
      <c r="O147">
        <f>IF($A147="","",IF($B147&lt;&gt;"",$B147,$O146))</f>
        <v/>
      </c>
    </row>
    <row r="148">
      <c r="N148">
        <f>IF($A148="","",IF(COUNTIFS($A$2:$A148,$A148,$C$2:$C148,$C148)=1,1,0))</f>
        <v/>
      </c>
      <c r="O148">
        <f>IF($A148="","",IF($B148&lt;&gt;"",$B148,$O147))</f>
        <v/>
      </c>
    </row>
    <row r="149">
      <c r="N149">
        <f>IF($A149="","",IF(COUNTIFS($A$2:$A149,$A149,$C$2:$C149,$C149)=1,1,0))</f>
        <v/>
      </c>
      <c r="O149">
        <f>IF($A149="","",IF($B149&lt;&gt;"",$B149,$O148))</f>
        <v/>
      </c>
    </row>
    <row r="150">
      <c r="N150">
        <f>IF($A150="","",IF(COUNTIFS($A$2:$A150,$A150,$C$2:$C150,$C150)=1,1,0))</f>
        <v/>
      </c>
      <c r="O150">
        <f>IF($A150="","",IF($B150&lt;&gt;"",$B150,$O149))</f>
        <v/>
      </c>
    </row>
    <row r="151">
      <c r="N151">
        <f>IF($A151="","",IF(COUNTIFS($A$2:$A151,$A151,$C$2:$C151,$C151)=1,1,0))</f>
        <v/>
      </c>
      <c r="O151">
        <f>IF($A151="","",IF($B151&lt;&gt;"",$B151,$O150))</f>
        <v/>
      </c>
    </row>
    <row r="152">
      <c r="N152">
        <f>IF($A152="","",IF(COUNTIFS($A$2:$A152,$A152,$C$2:$C152,$C152)=1,1,0))</f>
        <v/>
      </c>
      <c r="O152">
        <f>IF($A152="","",IF($B152&lt;&gt;"",$B152,$O151))</f>
        <v/>
      </c>
    </row>
    <row r="153">
      <c r="N153">
        <f>IF($A153="","",IF(COUNTIFS($A$2:$A153,$A153,$C$2:$C153,$C153)=1,1,0))</f>
        <v/>
      </c>
      <c r="O153">
        <f>IF($A153="","",IF($B153&lt;&gt;"",$B153,$O152))</f>
        <v/>
      </c>
    </row>
    <row r="154">
      <c r="N154">
        <f>IF($A154="","",IF(COUNTIFS($A$2:$A154,$A154,$C$2:$C154,$C154)=1,1,0))</f>
        <v/>
      </c>
      <c r="O154">
        <f>IF($A154="","",IF($B154&lt;&gt;"",$B154,$O153))</f>
        <v/>
      </c>
    </row>
    <row r="155">
      <c r="N155">
        <f>IF($A155="","",IF(COUNTIFS($A$2:$A155,$A155,$C$2:$C155,$C155)=1,1,0))</f>
        <v/>
      </c>
      <c r="O155">
        <f>IF($A155="","",IF($B155&lt;&gt;"",$B155,$O154))</f>
        <v/>
      </c>
    </row>
    <row r="156">
      <c r="N156">
        <f>IF($A156="","",IF(COUNTIFS($A$2:$A156,$A156,$C$2:$C156,$C156)=1,1,0))</f>
        <v/>
      </c>
      <c r="O156">
        <f>IF($A156="","",IF($B156&lt;&gt;"",$B156,$O155))</f>
        <v/>
      </c>
    </row>
    <row r="157">
      <c r="N157">
        <f>IF($A157="","",IF(COUNTIFS($A$2:$A157,$A157,$C$2:$C157,$C157)=1,1,0))</f>
        <v/>
      </c>
      <c r="O157">
        <f>IF($A157="","",IF($B157&lt;&gt;"",$B157,$O156))</f>
        <v/>
      </c>
    </row>
    <row r="158">
      <c r="N158">
        <f>IF($A158="","",IF(COUNTIFS($A$2:$A158,$A158,$C$2:$C158,$C158)=1,1,0))</f>
        <v/>
      </c>
      <c r="O158">
        <f>IF($A158="","",IF($B158&lt;&gt;"",$B158,$O157))</f>
        <v/>
      </c>
    </row>
    <row r="159">
      <c r="N159">
        <f>IF($A159="","",IF(COUNTIFS($A$2:$A159,$A159,$C$2:$C159,$C159)=1,1,0))</f>
        <v/>
      </c>
      <c r="O159">
        <f>IF($A159="","",IF($B159&lt;&gt;"",$B159,$O158))</f>
        <v/>
      </c>
    </row>
    <row r="160">
      <c r="N160">
        <f>IF($A160="","",IF(COUNTIFS($A$2:$A160,$A160,$C$2:$C160,$C160)=1,1,0))</f>
        <v/>
      </c>
      <c r="O160">
        <f>IF($A160="","",IF($B160&lt;&gt;"",$B160,$O159))</f>
        <v/>
      </c>
    </row>
    <row r="161">
      <c r="N161">
        <f>IF($A161="","",IF(COUNTIFS($A$2:$A161,$A161,$C$2:$C161,$C161)=1,1,0))</f>
        <v/>
      </c>
      <c r="O161">
        <f>IF($A161="","",IF($B161&lt;&gt;"",$B161,$O160))</f>
        <v/>
      </c>
    </row>
    <row r="162">
      <c r="N162">
        <f>IF($A162="","",IF(COUNTIFS($A$2:$A162,$A162,$C$2:$C162,$C162)=1,1,0))</f>
        <v/>
      </c>
      <c r="O162">
        <f>IF($A162="","",IF($B162&lt;&gt;"",$B162,$O161))</f>
        <v/>
      </c>
    </row>
    <row r="163">
      <c r="N163">
        <f>IF($A163="","",IF(COUNTIFS($A$2:$A163,$A163,$C$2:$C163,$C163)=1,1,0))</f>
        <v/>
      </c>
      <c r="O163">
        <f>IF($A163="","",IF($B163&lt;&gt;"",$B163,$O162))</f>
        <v/>
      </c>
    </row>
    <row r="164">
      <c r="N164">
        <f>IF($A164="","",IF(COUNTIFS($A$2:$A164,$A164,$C$2:$C164,$C164)=1,1,0))</f>
        <v/>
      </c>
      <c r="O164">
        <f>IF($A164="","",IF($B164&lt;&gt;"",$B164,$O163))</f>
        <v/>
      </c>
    </row>
    <row r="165">
      <c r="N165">
        <f>IF($A165="","",IF(COUNTIFS($A$2:$A165,$A165,$C$2:$C165,$C165)=1,1,0))</f>
        <v/>
      </c>
      <c r="O165">
        <f>IF($A165="","",IF($B165&lt;&gt;"",$B165,$O164))</f>
        <v/>
      </c>
    </row>
    <row r="166">
      <c r="N166">
        <f>IF($A166="","",IF(COUNTIFS($A$2:$A166,$A166,$C$2:$C166,$C166)=1,1,0))</f>
        <v/>
      </c>
      <c r="O166">
        <f>IF($A166="","",IF($B166&lt;&gt;"",$B166,$O165))</f>
        <v/>
      </c>
    </row>
    <row r="167">
      <c r="N167">
        <f>IF($A167="","",IF(COUNTIFS($A$2:$A167,$A167,$C$2:$C167,$C167)=1,1,0))</f>
        <v/>
      </c>
      <c r="O167">
        <f>IF($A167="","",IF($B167&lt;&gt;"",$B167,$O166))</f>
        <v/>
      </c>
    </row>
    <row r="168">
      <c r="N168">
        <f>IF($A168="","",IF(COUNTIFS($A$2:$A168,$A168,$C$2:$C168,$C168)=1,1,0))</f>
        <v/>
      </c>
      <c r="O168">
        <f>IF($A168="","",IF($B168&lt;&gt;"",$B168,$O167))</f>
        <v/>
      </c>
    </row>
    <row r="169">
      <c r="N169">
        <f>IF($A169="","",IF(COUNTIFS($A$2:$A169,$A169,$C$2:$C169,$C169)=1,1,0))</f>
        <v/>
      </c>
      <c r="O169">
        <f>IF($A169="","",IF($B169&lt;&gt;"",$B169,$O168))</f>
        <v/>
      </c>
    </row>
    <row r="170">
      <c r="N170">
        <f>IF($A170="","",IF(COUNTIFS($A$2:$A170,$A170,$C$2:$C170,$C170)=1,1,0))</f>
        <v/>
      </c>
      <c r="O170">
        <f>IF($A170="","",IF($B170&lt;&gt;"",$B170,$O169))</f>
        <v/>
      </c>
    </row>
    <row r="171">
      <c r="N171">
        <f>IF($A171="","",IF(COUNTIFS($A$2:$A171,$A171,$C$2:$C171,$C171)=1,1,0))</f>
        <v/>
      </c>
      <c r="O171">
        <f>IF($A171="","",IF($B171&lt;&gt;"",$B171,$O170))</f>
        <v/>
      </c>
    </row>
    <row r="172">
      <c r="N172">
        <f>IF($A172="","",IF(COUNTIFS($A$2:$A172,$A172,$C$2:$C172,$C172)=1,1,0))</f>
        <v/>
      </c>
      <c r="O172">
        <f>IF($A172="","",IF($B172&lt;&gt;"",$B172,$O171))</f>
        <v/>
      </c>
    </row>
    <row r="173">
      <c r="N173">
        <f>IF($A173="","",IF(COUNTIFS($A$2:$A173,$A173,$C$2:$C173,$C173)=1,1,0))</f>
        <v/>
      </c>
      <c r="O173">
        <f>IF($A173="","",IF($B173&lt;&gt;"",$B173,$O172))</f>
        <v/>
      </c>
    </row>
    <row r="174">
      <c r="N174">
        <f>IF($A174="","",IF(COUNTIFS($A$2:$A174,$A174,$C$2:$C174,$C174)=1,1,0))</f>
        <v/>
      </c>
      <c r="O174">
        <f>IF($A174="","",IF($B174&lt;&gt;"",$B174,$O173))</f>
        <v/>
      </c>
    </row>
    <row r="175">
      <c r="N175">
        <f>IF($A175="","",IF(COUNTIFS($A$2:$A175,$A175,$C$2:$C175,$C175)=1,1,0))</f>
        <v/>
      </c>
      <c r="O175">
        <f>IF($A175="","",IF($B175&lt;&gt;"",$B175,$O174))</f>
        <v/>
      </c>
    </row>
    <row r="176">
      <c r="N176">
        <f>IF($A176="","",IF(COUNTIFS($A$2:$A176,$A176,$C$2:$C176,$C176)=1,1,0))</f>
        <v/>
      </c>
      <c r="O176">
        <f>IF($A176="","",IF($B176&lt;&gt;"",$B176,$O175))</f>
        <v/>
      </c>
    </row>
    <row r="177">
      <c r="N177">
        <f>IF($A177="","",IF(COUNTIFS($A$2:$A177,$A177,$C$2:$C177,$C177)=1,1,0))</f>
        <v/>
      </c>
      <c r="O177">
        <f>IF($A177="","",IF($B177&lt;&gt;"",$B177,$O176))</f>
        <v/>
      </c>
    </row>
    <row r="178">
      <c r="N178">
        <f>IF($A178="","",IF(COUNTIFS($A$2:$A178,$A178,$C$2:$C178,$C178)=1,1,0))</f>
        <v/>
      </c>
      <c r="O178">
        <f>IF($A178="","",IF($B178&lt;&gt;"",$B178,$O177))</f>
        <v/>
      </c>
    </row>
    <row r="179">
      <c r="N179">
        <f>IF($A179="","",IF(COUNTIFS($A$2:$A179,$A179,$C$2:$C179,$C179)=1,1,0))</f>
        <v/>
      </c>
      <c r="O179">
        <f>IF($A179="","",IF($B179&lt;&gt;"",$B179,$O178))</f>
        <v/>
      </c>
    </row>
    <row r="180">
      <c r="N180">
        <f>IF($A180="","",IF(COUNTIFS($A$2:$A180,$A180,$C$2:$C180,$C180)=1,1,0))</f>
        <v/>
      </c>
      <c r="O180">
        <f>IF($A180="","",IF($B180&lt;&gt;"",$B180,$O179))</f>
        <v/>
      </c>
    </row>
    <row r="181">
      <c r="N181">
        <f>IF($A181="","",IF(COUNTIFS($A$2:$A181,$A181,$C$2:$C181,$C181)=1,1,0))</f>
        <v/>
      </c>
      <c r="O181">
        <f>IF($A181="","",IF($B181&lt;&gt;"",$B181,$O180))</f>
        <v/>
      </c>
    </row>
    <row r="182">
      <c r="N182">
        <f>IF($A182="","",IF(COUNTIFS($A$2:$A182,$A182,$C$2:$C182,$C182)=1,1,0))</f>
        <v/>
      </c>
      <c r="O182">
        <f>IF($A182="","",IF($B182&lt;&gt;"",$B182,$O181))</f>
        <v/>
      </c>
    </row>
    <row r="183">
      <c r="N183">
        <f>IF($A183="","",IF(COUNTIFS($A$2:$A183,$A183,$C$2:$C183,$C183)=1,1,0))</f>
        <v/>
      </c>
      <c r="O183">
        <f>IF($A183="","",IF($B183&lt;&gt;"",$B183,$O182))</f>
        <v/>
      </c>
    </row>
    <row r="184">
      <c r="N184">
        <f>IF($A184="","",IF(COUNTIFS($A$2:$A184,$A184,$C$2:$C184,$C184)=1,1,0))</f>
        <v/>
      </c>
      <c r="O184">
        <f>IF($A184="","",IF($B184&lt;&gt;"",$B184,$O183))</f>
        <v/>
      </c>
    </row>
    <row r="185">
      <c r="N185">
        <f>IF($A185="","",IF(COUNTIFS($A$2:$A185,$A185,$C$2:$C185,$C185)=1,1,0))</f>
        <v/>
      </c>
      <c r="O185">
        <f>IF($A185="","",IF($B185&lt;&gt;"",$B185,$O184))</f>
        <v/>
      </c>
    </row>
    <row r="186">
      <c r="N186">
        <f>IF($A186="","",IF(COUNTIFS($A$2:$A186,$A186,$C$2:$C186,$C186)=1,1,0))</f>
        <v/>
      </c>
      <c r="O186">
        <f>IF($A186="","",IF($B186&lt;&gt;"",$B186,$O185))</f>
        <v/>
      </c>
    </row>
    <row r="187">
      <c r="N187">
        <f>IF($A187="","",IF(COUNTIFS($A$2:$A187,$A187,$C$2:$C187,$C187)=1,1,0))</f>
        <v/>
      </c>
      <c r="O187">
        <f>IF($A187="","",IF($B187&lt;&gt;"",$B187,$O186))</f>
        <v/>
      </c>
    </row>
    <row r="188">
      <c r="N188">
        <f>IF($A188="","",IF(COUNTIFS($A$2:$A188,$A188,$C$2:$C188,$C188)=1,1,0))</f>
        <v/>
      </c>
      <c r="O188">
        <f>IF($A188="","",IF($B188&lt;&gt;"",$B188,$O187))</f>
        <v/>
      </c>
    </row>
    <row r="189">
      <c r="N189">
        <f>IF($A189="","",IF(COUNTIFS($A$2:$A189,$A189,$C$2:$C189,$C189)=1,1,0))</f>
        <v/>
      </c>
      <c r="O189">
        <f>IF($A189="","",IF($B189&lt;&gt;"",$B189,$O188))</f>
        <v/>
      </c>
    </row>
    <row r="190">
      <c r="N190">
        <f>IF($A190="","",IF(COUNTIFS($A$2:$A190,$A190,$C$2:$C190,$C190)=1,1,0))</f>
        <v/>
      </c>
      <c r="O190">
        <f>IF($A190="","",IF($B190&lt;&gt;"",$B190,$O189))</f>
        <v/>
      </c>
    </row>
    <row r="191">
      <c r="N191">
        <f>IF($A191="","",IF(COUNTIFS($A$2:$A191,$A191,$C$2:$C191,$C191)=1,1,0))</f>
        <v/>
      </c>
      <c r="O191">
        <f>IF($A191="","",IF($B191&lt;&gt;"",$B191,$O190))</f>
        <v/>
      </c>
    </row>
    <row r="192">
      <c r="N192">
        <f>IF($A192="","",IF(COUNTIFS($A$2:$A192,$A192,$C$2:$C192,$C192)=1,1,0))</f>
        <v/>
      </c>
      <c r="O192">
        <f>IF($A192="","",IF($B192&lt;&gt;"",$B192,$O191))</f>
        <v/>
      </c>
    </row>
    <row r="193">
      <c r="N193">
        <f>IF($A193="","",IF(COUNTIFS($A$2:$A193,$A193,$C$2:$C193,$C193)=1,1,0))</f>
        <v/>
      </c>
      <c r="O193">
        <f>IF($A193="","",IF($B193&lt;&gt;"",$B193,$O192))</f>
        <v/>
      </c>
    </row>
    <row r="194">
      <c r="N194">
        <f>IF($A194="","",IF(COUNTIFS($A$2:$A194,$A194,$C$2:$C194,$C194)=1,1,0))</f>
        <v/>
      </c>
      <c r="O194">
        <f>IF($A194="","",IF($B194&lt;&gt;"",$B194,$O193))</f>
        <v/>
      </c>
    </row>
    <row r="195">
      <c r="N195">
        <f>IF($A195="","",IF(COUNTIFS($A$2:$A195,$A195,$C$2:$C195,$C195)=1,1,0))</f>
        <v/>
      </c>
      <c r="O195">
        <f>IF($A195="","",IF($B195&lt;&gt;"",$B195,$O194))</f>
        <v/>
      </c>
    </row>
    <row r="196">
      <c r="N196">
        <f>IF($A196="","",IF(COUNTIFS($A$2:$A196,$A196,$C$2:$C196,$C196)=1,1,0))</f>
        <v/>
      </c>
      <c r="O196">
        <f>IF($A196="","",IF($B196&lt;&gt;"",$B196,$O195))</f>
        <v/>
      </c>
    </row>
    <row r="197">
      <c r="N197">
        <f>IF($A197="","",IF(COUNTIFS($A$2:$A197,$A197,$C$2:$C197,$C197)=1,1,0))</f>
        <v/>
      </c>
      <c r="O197">
        <f>IF($A197="","",IF($B197&lt;&gt;"",$B197,$O196))</f>
        <v/>
      </c>
    </row>
    <row r="198">
      <c r="N198">
        <f>IF($A198="","",IF(COUNTIFS($A$2:$A198,$A198,$C$2:$C198,$C198)=1,1,0))</f>
        <v/>
      </c>
      <c r="O198">
        <f>IF($A198="","",IF($B198&lt;&gt;"",$B198,$O197))</f>
        <v/>
      </c>
    </row>
    <row r="199">
      <c r="N199">
        <f>IF($A199="","",IF(COUNTIFS($A$2:$A199,$A199,$C$2:$C199,$C199)=1,1,0))</f>
        <v/>
      </c>
      <c r="O199">
        <f>IF($A199="","",IF($B199&lt;&gt;"",$B199,$O198))</f>
        <v/>
      </c>
    </row>
    <row r="200">
      <c r="N200">
        <f>IF($A200="","",IF(COUNTIFS($A$2:$A200,$A200,$C$2:$C200,$C200)=1,1,0))</f>
        <v/>
      </c>
      <c r="O200">
        <f>IF($A200="","",IF($B200&lt;&gt;"",$B200,$O199))</f>
        <v/>
      </c>
    </row>
    <row r="201">
      <c r="N201">
        <f>IF($A201="","",IF(COUNTIFS($A$2:$A201,$A201,$C$2:$C201,$C201)=1,1,0))</f>
        <v/>
      </c>
      <c r="O201">
        <f>IF($A201="","",IF($B201&lt;&gt;"",$B201,$O200))</f>
        <v/>
      </c>
    </row>
    <row r="202">
      <c r="N202">
        <f>IF($A202="","",IF(COUNTIFS($A$2:$A202,$A202,$C$2:$C202,$C202)=1,1,0))</f>
        <v/>
      </c>
      <c r="O202">
        <f>IF($A202="","",IF($B202&lt;&gt;"",$B202,$O201))</f>
        <v/>
      </c>
    </row>
    <row r="203">
      <c r="N203">
        <f>IF($A203="","",IF(COUNTIFS($A$2:$A203,$A203,$C$2:$C203,$C203)=1,1,0))</f>
        <v/>
      </c>
      <c r="O203">
        <f>IF($A203="","",IF($B203&lt;&gt;"",$B203,$O202))</f>
        <v/>
      </c>
    </row>
    <row r="204">
      <c r="N204">
        <f>IF($A204="","",IF(COUNTIFS($A$2:$A204,$A204,$C$2:$C204,$C204)=1,1,0))</f>
        <v/>
      </c>
      <c r="O204">
        <f>IF($A204="","",IF($B204&lt;&gt;"",$B204,$O203))</f>
        <v/>
      </c>
    </row>
    <row r="205">
      <c r="N205">
        <f>IF($A205="","",IF(COUNTIFS($A$2:$A205,$A205,$C$2:$C205,$C205)=1,1,0))</f>
        <v/>
      </c>
      <c r="O205">
        <f>IF($A205="","",IF($B205&lt;&gt;"",$B205,$O204))</f>
        <v/>
      </c>
    </row>
    <row r="206">
      <c r="N206">
        <f>IF($A206="","",IF(COUNTIFS($A$2:$A206,$A206,$C$2:$C206,$C206)=1,1,0))</f>
        <v/>
      </c>
      <c r="O206">
        <f>IF($A206="","",IF($B206&lt;&gt;"",$B206,$O205))</f>
        <v/>
      </c>
    </row>
    <row r="207">
      <c r="N207">
        <f>IF($A207="","",IF(COUNTIFS($A$2:$A207,$A207,$C$2:$C207,$C207)=1,1,0))</f>
        <v/>
      </c>
      <c r="O207">
        <f>IF($A207="","",IF($B207&lt;&gt;"",$B207,$O206))</f>
        <v/>
      </c>
    </row>
    <row r="208">
      <c r="N208">
        <f>IF($A208="","",IF(COUNTIFS($A$2:$A208,$A208,$C$2:$C208,$C208)=1,1,0))</f>
        <v/>
      </c>
      <c r="O208">
        <f>IF($A208="","",IF($B208&lt;&gt;"",$B208,$O207))</f>
        <v/>
      </c>
    </row>
    <row r="209">
      <c r="N209">
        <f>IF($A209="","",IF(COUNTIFS($A$2:$A209,$A209,$C$2:$C209,$C209)=1,1,0))</f>
        <v/>
      </c>
      <c r="O209">
        <f>IF($A209="","",IF($B209&lt;&gt;"",$B209,$O208))</f>
        <v/>
      </c>
    </row>
    <row r="210">
      <c r="N210">
        <f>IF($A210="","",IF(COUNTIFS($A$2:$A210,$A210,$C$2:$C210,$C210)=1,1,0))</f>
        <v/>
      </c>
      <c r="O210">
        <f>IF($A210="","",IF($B210&lt;&gt;"",$B210,$O209))</f>
        <v/>
      </c>
    </row>
    <row r="211">
      <c r="N211">
        <f>IF($A211="","",IF(COUNTIFS($A$2:$A211,$A211,$C$2:$C211,$C211)=1,1,0))</f>
        <v/>
      </c>
      <c r="O211">
        <f>IF($A211="","",IF($B211&lt;&gt;"",$B211,$O210))</f>
        <v/>
      </c>
    </row>
    <row r="212">
      <c r="N212">
        <f>IF($A212="","",IF(COUNTIFS($A$2:$A212,$A212,$C$2:$C212,$C212)=1,1,0))</f>
        <v/>
      </c>
      <c r="O212">
        <f>IF($A212="","",IF($B212&lt;&gt;"",$B212,$O211))</f>
        <v/>
      </c>
    </row>
    <row r="213">
      <c r="N213">
        <f>IF($A213="","",IF(COUNTIFS($A$2:$A213,$A213,$C$2:$C213,$C213)=1,1,0))</f>
        <v/>
      </c>
      <c r="O213">
        <f>IF($A213="","",IF($B213&lt;&gt;"",$B213,$O212))</f>
        <v/>
      </c>
    </row>
    <row r="214">
      <c r="N214">
        <f>IF($A214="","",IF(COUNTIFS($A$2:$A214,$A214,$C$2:$C214,$C214)=1,1,0))</f>
        <v/>
      </c>
      <c r="O214">
        <f>IF($A214="","",IF($B214&lt;&gt;"",$B214,$O213))</f>
        <v/>
      </c>
    </row>
    <row r="215">
      <c r="N215">
        <f>IF($A215="","",IF(COUNTIFS($A$2:$A215,$A215,$C$2:$C215,$C215)=1,1,0))</f>
        <v/>
      </c>
      <c r="O215">
        <f>IF($A215="","",IF($B215&lt;&gt;"",$B215,$O214))</f>
        <v/>
      </c>
    </row>
    <row r="216">
      <c r="N216">
        <f>IF($A216="","",IF(COUNTIFS($A$2:$A216,$A216,$C$2:$C216,$C216)=1,1,0))</f>
        <v/>
      </c>
      <c r="O216">
        <f>IF($A216="","",IF($B216&lt;&gt;"",$B216,$O215))</f>
        <v/>
      </c>
    </row>
    <row r="217">
      <c r="N217">
        <f>IF($A217="","",IF(COUNTIFS($A$2:$A217,$A217,$C$2:$C217,$C217)=1,1,0))</f>
        <v/>
      </c>
      <c r="O217">
        <f>IF($A217="","",IF($B217&lt;&gt;"",$B217,$O216))</f>
        <v/>
      </c>
    </row>
    <row r="218">
      <c r="N218">
        <f>IF($A218="","",IF(COUNTIFS($A$2:$A218,$A218,$C$2:$C218,$C218)=1,1,0))</f>
        <v/>
      </c>
      <c r="O218">
        <f>IF($A218="","",IF($B218&lt;&gt;"",$B218,$O217))</f>
        <v/>
      </c>
    </row>
    <row r="219">
      <c r="N219">
        <f>IF($A219="","",IF(COUNTIFS($A$2:$A219,$A219,$C$2:$C219,$C219)=1,1,0))</f>
        <v/>
      </c>
      <c r="O219">
        <f>IF($A219="","",IF($B219&lt;&gt;"",$B219,$O218))</f>
        <v/>
      </c>
    </row>
    <row r="220">
      <c r="N220">
        <f>IF($A220="","",IF(COUNTIFS($A$2:$A220,$A220,$C$2:$C220,$C220)=1,1,0))</f>
        <v/>
      </c>
      <c r="O220">
        <f>IF($A220="","",IF($B220&lt;&gt;"",$B220,$O219))</f>
        <v/>
      </c>
    </row>
    <row r="221">
      <c r="N221">
        <f>IF($A221="","",IF(COUNTIFS($A$2:$A221,$A221,$C$2:$C221,$C221)=1,1,0))</f>
        <v/>
      </c>
      <c r="O221">
        <f>IF($A221="","",IF($B221&lt;&gt;"",$B221,$O220))</f>
        <v/>
      </c>
    </row>
    <row r="222">
      <c r="N222">
        <f>IF($A222="","",IF(COUNTIFS($A$2:$A222,$A222,$C$2:$C222,$C222)=1,1,0))</f>
        <v/>
      </c>
      <c r="O222">
        <f>IF($A222="","",IF($B222&lt;&gt;"",$B222,$O221))</f>
        <v/>
      </c>
    </row>
    <row r="223">
      <c r="N223">
        <f>IF($A223="","",IF(COUNTIFS($A$2:$A223,$A223,$C$2:$C223,$C223)=1,1,0))</f>
        <v/>
      </c>
      <c r="O223">
        <f>IF($A223="","",IF($B223&lt;&gt;"",$B223,$O222))</f>
        <v/>
      </c>
    </row>
    <row r="224">
      <c r="N224">
        <f>IF($A224="","",IF(COUNTIFS($A$2:$A224,$A224,$C$2:$C224,$C224)=1,1,0))</f>
        <v/>
      </c>
      <c r="O224">
        <f>IF($A224="","",IF($B224&lt;&gt;"",$B224,$O223))</f>
        <v/>
      </c>
    </row>
    <row r="225">
      <c r="N225">
        <f>IF($A225="","",IF(COUNTIFS($A$2:$A225,$A225,$C$2:$C225,$C225)=1,1,0))</f>
        <v/>
      </c>
      <c r="O225">
        <f>IF($A225="","",IF($B225&lt;&gt;"",$B225,$O224))</f>
        <v/>
      </c>
    </row>
    <row r="226">
      <c r="N226">
        <f>IF($A226="","",IF(COUNTIFS($A$2:$A226,$A226,$C$2:$C226,$C226)=1,1,0))</f>
        <v/>
      </c>
      <c r="O226">
        <f>IF($A226="","",IF($B226&lt;&gt;"",$B226,$O225))</f>
        <v/>
      </c>
    </row>
    <row r="227">
      <c r="N227">
        <f>IF($A227="","",IF(COUNTIFS($A$2:$A227,$A227,$C$2:$C227,$C227)=1,1,0))</f>
        <v/>
      </c>
      <c r="O227">
        <f>IF($A227="","",IF($B227&lt;&gt;"",$B227,$O226))</f>
        <v/>
      </c>
    </row>
    <row r="228">
      <c r="N228">
        <f>IF($A228="","",IF(COUNTIFS($A$2:$A228,$A228,$C$2:$C228,$C228)=1,1,0))</f>
        <v/>
      </c>
      <c r="O228">
        <f>IF($A228="","",IF($B228&lt;&gt;"",$B228,$O227))</f>
        <v/>
      </c>
    </row>
    <row r="229">
      <c r="N229">
        <f>IF($A229="","",IF(COUNTIFS($A$2:$A229,$A229,$C$2:$C229,$C229)=1,1,0))</f>
        <v/>
      </c>
      <c r="O229">
        <f>IF($A229="","",IF($B229&lt;&gt;"",$B229,$O228))</f>
        <v/>
      </c>
    </row>
    <row r="230">
      <c r="N230">
        <f>IF($A230="","",IF(COUNTIFS($A$2:$A230,$A230,$C$2:$C230,$C230)=1,1,0))</f>
        <v/>
      </c>
      <c r="O230">
        <f>IF($A230="","",IF($B230&lt;&gt;"",$B230,$O229))</f>
        <v/>
      </c>
    </row>
    <row r="231">
      <c r="N231">
        <f>IF($A231="","",IF(COUNTIFS($A$2:$A231,$A231,$C$2:$C231,$C231)=1,1,0))</f>
        <v/>
      </c>
      <c r="O231">
        <f>IF($A231="","",IF($B231&lt;&gt;"",$B231,$O230))</f>
        <v/>
      </c>
    </row>
    <row r="232">
      <c r="N232">
        <f>IF($A232="","",IF(COUNTIFS($A$2:$A232,$A232,$C$2:$C232,$C232)=1,1,0))</f>
        <v/>
      </c>
      <c r="O232">
        <f>IF($A232="","",IF($B232&lt;&gt;"",$B232,$O231))</f>
        <v/>
      </c>
    </row>
    <row r="233">
      <c r="N233">
        <f>IF($A233="","",IF(COUNTIFS($A$2:$A233,$A233,$C$2:$C233,$C233)=1,1,0))</f>
        <v/>
      </c>
      <c r="O233">
        <f>IF($A233="","",IF($B233&lt;&gt;"",$B233,$O232))</f>
        <v/>
      </c>
    </row>
    <row r="234">
      <c r="N234">
        <f>IF($A234="","",IF(COUNTIFS($A$2:$A234,$A234,$C$2:$C234,$C234)=1,1,0))</f>
        <v/>
      </c>
      <c r="O234">
        <f>IF($A234="","",IF($B234&lt;&gt;"",$B234,$O233))</f>
        <v/>
      </c>
    </row>
    <row r="235">
      <c r="N235">
        <f>IF($A235="","",IF(COUNTIFS($A$2:$A235,$A235,$C$2:$C235,$C235)=1,1,0))</f>
        <v/>
      </c>
      <c r="O235">
        <f>IF($A235="","",IF($B235&lt;&gt;"",$B235,$O234))</f>
        <v/>
      </c>
    </row>
    <row r="236">
      <c r="N236">
        <f>IF($A236="","",IF(COUNTIFS($A$2:$A236,$A236,$C$2:$C236,$C236)=1,1,0))</f>
        <v/>
      </c>
      <c r="O236">
        <f>IF($A236="","",IF($B236&lt;&gt;"",$B236,$O235))</f>
        <v/>
      </c>
    </row>
    <row r="237">
      <c r="N237">
        <f>IF($A237="","",IF(COUNTIFS($A$2:$A237,$A237,$C$2:$C237,$C237)=1,1,0))</f>
        <v/>
      </c>
      <c r="O237">
        <f>IF($A237="","",IF($B237&lt;&gt;"",$B237,$O236))</f>
        <v/>
      </c>
    </row>
    <row r="238">
      <c r="N238">
        <f>IF($A238="","",IF(COUNTIFS($A$2:$A238,$A238,$C$2:$C238,$C238)=1,1,0))</f>
        <v/>
      </c>
      <c r="O238">
        <f>IF($A238="","",IF($B238&lt;&gt;"",$B238,$O237))</f>
        <v/>
      </c>
    </row>
    <row r="239">
      <c r="N239">
        <f>IF($A239="","",IF(COUNTIFS($A$2:$A239,$A239,$C$2:$C239,$C239)=1,1,0))</f>
        <v/>
      </c>
      <c r="O239">
        <f>IF($A239="","",IF($B239&lt;&gt;"",$B239,$O238))</f>
        <v/>
      </c>
    </row>
    <row r="240">
      <c r="N240">
        <f>IF($A240="","",IF(COUNTIFS($A$2:$A240,$A240,$C$2:$C240,$C240)=1,1,0))</f>
        <v/>
      </c>
      <c r="O240">
        <f>IF($A240="","",IF($B240&lt;&gt;"",$B240,$O239))</f>
        <v/>
      </c>
    </row>
    <row r="241">
      <c r="N241">
        <f>IF($A241="","",IF(COUNTIFS($A$2:$A241,$A241,$C$2:$C241,$C241)=1,1,0))</f>
        <v/>
      </c>
      <c r="O241">
        <f>IF($A241="","",IF($B241&lt;&gt;"",$B241,$O240))</f>
        <v/>
      </c>
    </row>
    <row r="242">
      <c r="N242">
        <f>IF($A242="","",IF(COUNTIFS($A$2:$A242,$A242,$C$2:$C242,$C242)=1,1,0))</f>
        <v/>
      </c>
      <c r="O242">
        <f>IF($A242="","",IF($B242&lt;&gt;"",$B242,$O241))</f>
        <v/>
      </c>
    </row>
    <row r="243">
      <c r="N243">
        <f>IF($A243="","",IF(COUNTIFS($A$2:$A243,$A243,$C$2:$C243,$C243)=1,1,0))</f>
        <v/>
      </c>
      <c r="O243">
        <f>IF($A243="","",IF($B243&lt;&gt;"",$B243,$O242))</f>
        <v/>
      </c>
    </row>
    <row r="244">
      <c r="N244">
        <f>IF($A244="","",IF(COUNTIFS($A$2:$A244,$A244,$C$2:$C244,$C244)=1,1,0))</f>
        <v/>
      </c>
      <c r="O244">
        <f>IF($A244="","",IF($B244&lt;&gt;"",$B244,$O243))</f>
        <v/>
      </c>
    </row>
    <row r="245">
      <c r="N245">
        <f>IF($A245="","",IF(COUNTIFS($A$2:$A245,$A245,$C$2:$C245,$C245)=1,1,0))</f>
        <v/>
      </c>
      <c r="O245">
        <f>IF($A245="","",IF($B245&lt;&gt;"",$B245,$O244))</f>
        <v/>
      </c>
    </row>
    <row r="246">
      <c r="N246">
        <f>IF($A246="","",IF(COUNTIFS($A$2:$A246,$A246,$C$2:$C246,$C246)=1,1,0))</f>
        <v/>
      </c>
      <c r="O246">
        <f>IF($A246="","",IF($B246&lt;&gt;"",$B246,$O245))</f>
        <v/>
      </c>
    </row>
    <row r="247">
      <c r="N247">
        <f>IF($A247="","",IF(COUNTIFS($A$2:$A247,$A247,$C$2:$C247,$C247)=1,1,0))</f>
        <v/>
      </c>
      <c r="O247">
        <f>IF($A247="","",IF($B247&lt;&gt;"",$B247,$O246))</f>
        <v/>
      </c>
    </row>
    <row r="248">
      <c r="N248">
        <f>IF($A248="","",IF(COUNTIFS($A$2:$A248,$A248,$C$2:$C248,$C248)=1,1,0))</f>
        <v/>
      </c>
      <c r="O248">
        <f>IF($A248="","",IF($B248&lt;&gt;"",$B248,$O247))</f>
        <v/>
      </c>
    </row>
    <row r="249">
      <c r="N249">
        <f>IF($A249="","",IF(COUNTIFS($A$2:$A249,$A249,$C$2:$C249,$C249)=1,1,0))</f>
        <v/>
      </c>
      <c r="O249">
        <f>IF($A249="","",IF($B249&lt;&gt;"",$B249,$O248))</f>
        <v/>
      </c>
    </row>
    <row r="250">
      <c r="N250">
        <f>IF($A250="","",IF(COUNTIFS($A$2:$A250,$A250,$C$2:$C250,$C250)=1,1,0))</f>
        <v/>
      </c>
      <c r="O250">
        <f>IF($A250="","",IF($B250&lt;&gt;"",$B250,$O249))</f>
        <v/>
      </c>
    </row>
    <row r="251">
      <c r="N251">
        <f>IF($A251="","",IF(COUNTIFS($A$2:$A251,$A251,$C$2:$C251,$C251)=1,1,0))</f>
        <v/>
      </c>
      <c r="O251">
        <f>IF($A251="","",IF($B251&lt;&gt;"",$B251,$O250))</f>
        <v/>
      </c>
    </row>
    <row r="252">
      <c r="N252">
        <f>IF($A252="","",IF(COUNTIFS($A$2:$A252,$A252,$C$2:$C252,$C252)=1,1,0))</f>
        <v/>
      </c>
      <c r="O252">
        <f>IF($A252="","",IF($B252&lt;&gt;"",$B252,$O251))</f>
        <v/>
      </c>
    </row>
    <row r="253">
      <c r="N253">
        <f>IF($A253="","",IF(COUNTIFS($A$2:$A253,$A253,$C$2:$C253,$C253)=1,1,0))</f>
        <v/>
      </c>
      <c r="O253">
        <f>IF($A253="","",IF($B253&lt;&gt;"",$B253,$O252))</f>
        <v/>
      </c>
    </row>
    <row r="254">
      <c r="N254">
        <f>IF($A254="","",IF(COUNTIFS($A$2:$A254,$A254,$C$2:$C254,$C254)=1,1,0))</f>
        <v/>
      </c>
      <c r="O254">
        <f>IF($A254="","",IF($B254&lt;&gt;"",$B254,$O253))</f>
        <v/>
      </c>
    </row>
    <row r="255">
      <c r="N255">
        <f>IF($A255="","",IF(COUNTIFS($A$2:$A255,$A255,$C$2:$C255,$C255)=1,1,0))</f>
        <v/>
      </c>
      <c r="O255">
        <f>IF($A255="","",IF($B255&lt;&gt;"",$B255,$O254))</f>
        <v/>
      </c>
    </row>
    <row r="256">
      <c r="N256">
        <f>IF($A256="","",IF(COUNTIFS($A$2:$A256,$A256,$C$2:$C256,$C256)=1,1,0))</f>
        <v/>
      </c>
      <c r="O256">
        <f>IF($A256="","",IF($B256&lt;&gt;"",$B256,$O255))</f>
        <v/>
      </c>
    </row>
    <row r="257">
      <c r="N257">
        <f>IF($A257="","",IF(COUNTIFS($A$2:$A257,$A257,$C$2:$C257,$C257)=1,1,0))</f>
        <v/>
      </c>
      <c r="O257">
        <f>IF($A257="","",IF($B257&lt;&gt;"",$B257,$O256))</f>
        <v/>
      </c>
    </row>
    <row r="258">
      <c r="N258">
        <f>IF($A258="","",IF(COUNTIFS($A$2:$A258,$A258,$C$2:$C258,$C258)=1,1,0))</f>
        <v/>
      </c>
      <c r="O258">
        <f>IF($A258="","",IF($B258&lt;&gt;"",$B258,$O257))</f>
        <v/>
      </c>
    </row>
    <row r="259">
      <c r="N259">
        <f>IF($A259="","",IF(COUNTIFS($A$2:$A259,$A259,$C$2:$C259,$C259)=1,1,0))</f>
        <v/>
      </c>
      <c r="O259">
        <f>IF($A259="","",IF($B259&lt;&gt;"",$B259,$O258))</f>
        <v/>
      </c>
    </row>
    <row r="260">
      <c r="N260">
        <f>IF($A260="","",IF(COUNTIFS($A$2:$A260,$A260,$C$2:$C260,$C260)=1,1,0))</f>
        <v/>
      </c>
      <c r="O260">
        <f>IF($A260="","",IF($B260&lt;&gt;"",$B260,$O259))</f>
        <v/>
      </c>
    </row>
    <row r="261">
      <c r="N261">
        <f>IF($A261="","",IF(COUNTIFS($A$2:$A261,$A261,$C$2:$C261,$C261)=1,1,0))</f>
        <v/>
      </c>
      <c r="O261">
        <f>IF($A261="","",IF($B261&lt;&gt;"",$B261,$O260))</f>
        <v/>
      </c>
    </row>
    <row r="262">
      <c r="N262">
        <f>IF($A262="","",IF(COUNTIFS($A$2:$A262,$A262,$C$2:$C262,$C262)=1,1,0))</f>
        <v/>
      </c>
      <c r="O262">
        <f>IF($A262="","",IF($B262&lt;&gt;"",$B262,$O261))</f>
        <v/>
      </c>
    </row>
    <row r="263">
      <c r="N263">
        <f>IF($A263="","",IF(COUNTIFS($A$2:$A263,$A263,$C$2:$C263,$C263)=1,1,0))</f>
        <v/>
      </c>
      <c r="O263">
        <f>IF($A263="","",IF($B263&lt;&gt;"",$B263,$O262))</f>
        <v/>
      </c>
    </row>
    <row r="264">
      <c r="N264">
        <f>IF($A264="","",IF(COUNTIFS($A$2:$A264,$A264,$C$2:$C264,$C264)=1,1,0))</f>
        <v/>
      </c>
      <c r="O264">
        <f>IF($A264="","",IF($B264&lt;&gt;"",$B264,$O263))</f>
        <v/>
      </c>
    </row>
    <row r="265">
      <c r="N265">
        <f>IF($A265="","",IF(COUNTIFS($A$2:$A265,$A265,$C$2:$C265,$C265)=1,1,0))</f>
        <v/>
      </c>
      <c r="O265">
        <f>IF($A265="","",IF($B265&lt;&gt;"",$B265,$O264))</f>
        <v/>
      </c>
    </row>
    <row r="266">
      <c r="N266">
        <f>IF($A266="","",IF(COUNTIFS($A$2:$A266,$A266,$C$2:$C266,$C266)=1,1,0))</f>
        <v/>
      </c>
      <c r="O266">
        <f>IF($A266="","",IF($B266&lt;&gt;"",$B266,$O265))</f>
        <v/>
      </c>
    </row>
    <row r="267">
      <c r="N267">
        <f>IF($A267="","",IF(COUNTIFS($A$2:$A267,$A267,$C$2:$C267,$C267)=1,1,0))</f>
        <v/>
      </c>
      <c r="O267">
        <f>IF($A267="","",IF($B267&lt;&gt;"",$B267,$O266))</f>
        <v/>
      </c>
    </row>
    <row r="268">
      <c r="N268">
        <f>IF($A268="","",IF(COUNTIFS($A$2:$A268,$A268,$C$2:$C268,$C268)=1,1,0))</f>
        <v/>
      </c>
      <c r="O268">
        <f>IF($A268="","",IF($B268&lt;&gt;"",$B268,$O267))</f>
        <v/>
      </c>
    </row>
    <row r="269">
      <c r="N269">
        <f>IF($A269="","",IF(COUNTIFS($A$2:$A269,$A269,$C$2:$C269,$C269)=1,1,0))</f>
        <v/>
      </c>
      <c r="O269">
        <f>IF($A269="","",IF($B269&lt;&gt;"",$B269,$O268))</f>
        <v/>
      </c>
    </row>
    <row r="270">
      <c r="N270">
        <f>IF($A270="","",IF(COUNTIFS($A$2:$A270,$A270,$C$2:$C270,$C270)=1,1,0))</f>
        <v/>
      </c>
      <c r="O270">
        <f>IF($A270="","",IF($B270&lt;&gt;"",$B270,$O269))</f>
        <v/>
      </c>
    </row>
    <row r="271">
      <c r="N271">
        <f>IF($A271="","",IF(COUNTIFS($A$2:$A271,$A271,$C$2:$C271,$C271)=1,1,0))</f>
        <v/>
      </c>
      <c r="O271">
        <f>IF($A271="","",IF($B271&lt;&gt;"",$B271,$O270))</f>
        <v/>
      </c>
    </row>
    <row r="272">
      <c r="N272">
        <f>IF($A272="","",IF(COUNTIFS($A$2:$A272,$A272,$C$2:$C272,$C272)=1,1,0))</f>
        <v/>
      </c>
      <c r="O272">
        <f>IF($A272="","",IF($B272&lt;&gt;"",$B272,$O271))</f>
        <v/>
      </c>
    </row>
    <row r="273">
      <c r="N273">
        <f>IF($A273="","",IF(COUNTIFS($A$2:$A273,$A273,$C$2:$C273,$C273)=1,1,0))</f>
        <v/>
      </c>
      <c r="O273">
        <f>IF($A273="","",IF($B273&lt;&gt;"",$B273,$O272))</f>
        <v/>
      </c>
    </row>
    <row r="274">
      <c r="N274">
        <f>IF($A274="","",IF(COUNTIFS($A$2:$A274,$A274,$C$2:$C274,$C274)=1,1,0))</f>
        <v/>
      </c>
      <c r="O274">
        <f>IF($A274="","",IF($B274&lt;&gt;"",$B274,$O273))</f>
        <v/>
      </c>
    </row>
    <row r="275">
      <c r="N275">
        <f>IF($A275="","",IF(COUNTIFS($A$2:$A275,$A275,$C$2:$C275,$C275)=1,1,0))</f>
        <v/>
      </c>
      <c r="O275">
        <f>IF($A275="","",IF($B275&lt;&gt;"",$B275,$O274))</f>
        <v/>
      </c>
    </row>
    <row r="276">
      <c r="N276">
        <f>IF($A276="","",IF(COUNTIFS($A$2:$A276,$A276,$C$2:$C276,$C276)=1,1,0))</f>
        <v/>
      </c>
      <c r="O276">
        <f>IF($A276="","",IF($B276&lt;&gt;"",$B276,$O275))</f>
        <v/>
      </c>
    </row>
    <row r="277">
      <c r="N277">
        <f>IF($A277="","",IF(COUNTIFS($A$2:$A277,$A277,$C$2:$C277,$C277)=1,1,0))</f>
        <v/>
      </c>
      <c r="O277">
        <f>IF($A277="","",IF($B277&lt;&gt;"",$B277,$O276))</f>
        <v/>
      </c>
    </row>
    <row r="278">
      <c r="N278">
        <f>IF($A278="","",IF(COUNTIFS($A$2:$A278,$A278,$C$2:$C278,$C278)=1,1,0))</f>
        <v/>
      </c>
      <c r="O278">
        <f>IF($A278="","",IF($B278&lt;&gt;"",$B278,$O277))</f>
        <v/>
      </c>
    </row>
    <row r="279">
      <c r="N279">
        <f>IF($A279="","",IF(COUNTIFS($A$2:$A279,$A279,$C$2:$C279,$C279)=1,1,0))</f>
        <v/>
      </c>
      <c r="O279">
        <f>IF($A279="","",IF($B279&lt;&gt;"",$B279,$O278))</f>
        <v/>
      </c>
    </row>
    <row r="280">
      <c r="N280">
        <f>IF($A280="","",IF(COUNTIFS($A$2:$A280,$A280,$C$2:$C280,$C280)=1,1,0))</f>
        <v/>
      </c>
      <c r="O280">
        <f>IF($A280="","",IF($B280&lt;&gt;"",$B280,$O279))</f>
        <v/>
      </c>
    </row>
    <row r="281">
      <c r="N281">
        <f>IF($A281="","",IF(COUNTIFS($A$2:$A281,$A281,$C$2:$C281,$C281)=1,1,0))</f>
        <v/>
      </c>
      <c r="O281">
        <f>IF($A281="","",IF($B281&lt;&gt;"",$B281,$O280))</f>
        <v/>
      </c>
    </row>
    <row r="282">
      <c r="N282">
        <f>IF($A282="","",IF(COUNTIFS($A$2:$A282,$A282,$C$2:$C282,$C282)=1,1,0))</f>
        <v/>
      </c>
      <c r="O282">
        <f>IF($A282="","",IF($B282&lt;&gt;"",$B282,$O281))</f>
        <v/>
      </c>
    </row>
    <row r="283">
      <c r="N283">
        <f>IF($A283="","",IF(COUNTIFS($A$2:$A283,$A283,$C$2:$C283,$C283)=1,1,0))</f>
        <v/>
      </c>
      <c r="O283">
        <f>IF($A283="","",IF($B283&lt;&gt;"",$B283,$O282))</f>
        <v/>
      </c>
    </row>
    <row r="284">
      <c r="N284">
        <f>IF($A284="","",IF(COUNTIFS($A$2:$A284,$A284,$C$2:$C284,$C284)=1,1,0))</f>
        <v/>
      </c>
      <c r="O284">
        <f>IF($A284="","",IF($B284&lt;&gt;"",$B284,$O283))</f>
        <v/>
      </c>
    </row>
    <row r="285">
      <c r="N285">
        <f>IF($A285="","",IF(COUNTIFS($A$2:$A285,$A285,$C$2:$C285,$C285)=1,1,0))</f>
        <v/>
      </c>
      <c r="O285">
        <f>IF($A285="","",IF($B285&lt;&gt;"",$B285,$O284))</f>
        <v/>
      </c>
    </row>
    <row r="286">
      <c r="N286">
        <f>IF($A286="","",IF(COUNTIFS($A$2:$A286,$A286,$C$2:$C286,$C286)=1,1,0))</f>
        <v/>
      </c>
      <c r="O286">
        <f>IF($A286="","",IF($B286&lt;&gt;"",$B286,$O285))</f>
        <v/>
      </c>
    </row>
    <row r="287">
      <c r="N287">
        <f>IF($A287="","",IF(COUNTIFS($A$2:$A287,$A287,$C$2:$C287,$C287)=1,1,0))</f>
        <v/>
      </c>
      <c r="O287">
        <f>IF($A287="","",IF($B287&lt;&gt;"",$B287,$O286))</f>
        <v/>
      </c>
    </row>
    <row r="288">
      <c r="N288">
        <f>IF($A288="","",IF(COUNTIFS($A$2:$A288,$A288,$C$2:$C288,$C288)=1,1,0))</f>
        <v/>
      </c>
      <c r="O288">
        <f>IF($A288="","",IF($B288&lt;&gt;"",$B288,$O287))</f>
        <v/>
      </c>
    </row>
    <row r="289">
      <c r="N289">
        <f>IF($A289="","",IF(COUNTIFS($A$2:$A289,$A289,$C$2:$C289,$C289)=1,1,0))</f>
        <v/>
      </c>
      <c r="O289">
        <f>IF($A289="","",IF($B289&lt;&gt;"",$B289,$O288))</f>
        <v/>
      </c>
    </row>
    <row r="290">
      <c r="N290">
        <f>IF($A290="","",IF(COUNTIFS($A$2:$A290,$A290,$C$2:$C290,$C290)=1,1,0))</f>
        <v/>
      </c>
      <c r="O290">
        <f>IF($A290="","",IF($B290&lt;&gt;"",$B290,$O289))</f>
        <v/>
      </c>
    </row>
    <row r="291">
      <c r="N291">
        <f>IF($A291="","",IF(COUNTIFS($A$2:$A291,$A291,$C$2:$C291,$C291)=1,1,0))</f>
        <v/>
      </c>
      <c r="O291">
        <f>IF($A291="","",IF($B291&lt;&gt;"",$B291,$O290))</f>
        <v/>
      </c>
    </row>
    <row r="292">
      <c r="N292">
        <f>IF($A292="","",IF(COUNTIFS($A$2:$A292,$A292,$C$2:$C292,$C292)=1,1,0))</f>
        <v/>
      </c>
      <c r="O292">
        <f>IF($A292="","",IF($B292&lt;&gt;"",$B292,$O291))</f>
        <v/>
      </c>
    </row>
    <row r="293">
      <c r="N293">
        <f>IF($A293="","",IF(COUNTIFS($A$2:$A293,$A293,$C$2:$C293,$C293)=1,1,0))</f>
        <v/>
      </c>
      <c r="O293">
        <f>IF($A293="","",IF($B293&lt;&gt;"",$B293,$O292))</f>
        <v/>
      </c>
    </row>
    <row r="294">
      <c r="N294">
        <f>IF($A294="","",IF(COUNTIFS($A$2:$A294,$A294,$C$2:$C294,$C294)=1,1,0))</f>
        <v/>
      </c>
      <c r="O294">
        <f>IF($A294="","",IF($B294&lt;&gt;"",$B294,$O293))</f>
        <v/>
      </c>
    </row>
    <row r="295">
      <c r="N295">
        <f>IF($A295="","",IF(COUNTIFS($A$2:$A295,$A295,$C$2:$C295,$C295)=1,1,0))</f>
        <v/>
      </c>
      <c r="O295">
        <f>IF($A295="","",IF($B295&lt;&gt;"",$B295,$O294))</f>
        <v/>
      </c>
    </row>
    <row r="296">
      <c r="N296">
        <f>IF($A296="","",IF(COUNTIFS($A$2:$A296,$A296,$C$2:$C296,$C296)=1,1,0))</f>
        <v/>
      </c>
      <c r="O296">
        <f>IF($A296="","",IF($B296&lt;&gt;"",$B296,$O295))</f>
        <v/>
      </c>
    </row>
    <row r="297">
      <c r="N297">
        <f>IF($A297="","",IF(COUNTIFS($A$2:$A297,$A297,$C$2:$C297,$C297)=1,1,0))</f>
        <v/>
      </c>
      <c r="O297">
        <f>IF($A297="","",IF($B297&lt;&gt;"",$B297,$O296))</f>
        <v/>
      </c>
    </row>
    <row r="298">
      <c r="N298">
        <f>IF($A298="","",IF(COUNTIFS($A$2:$A298,$A298,$C$2:$C298,$C298)=1,1,0))</f>
        <v/>
      </c>
      <c r="O298">
        <f>IF($A298="","",IF($B298&lt;&gt;"",$B298,$O297))</f>
        <v/>
      </c>
    </row>
    <row r="299">
      <c r="N299">
        <f>IF($A299="","",IF(COUNTIFS($A$2:$A299,$A299,$C$2:$C299,$C299)=1,1,0))</f>
        <v/>
      </c>
      <c r="O299">
        <f>IF($A299="","",IF($B299&lt;&gt;"",$B299,$O298))</f>
        <v/>
      </c>
    </row>
    <row r="300">
      <c r="N300">
        <f>IF($A300="","",IF(COUNTIFS($A$2:$A300,$A300,$C$2:$C300,$C300)=1,1,0))</f>
        <v/>
      </c>
      <c r="O300">
        <f>IF($A300="","",IF($B300&lt;&gt;"",$B300,$O299))</f>
        <v/>
      </c>
    </row>
    <row r="301">
      <c r="N301">
        <f>IF($A301="","",IF(COUNTIFS($A$2:$A301,$A301,$C$2:$C301,$C301)=1,1,0))</f>
        <v/>
      </c>
      <c r="O301">
        <f>IF($A301="","",IF($B301&lt;&gt;"",$B301,$O300))</f>
        <v/>
      </c>
    </row>
    <row r="302">
      <c r="N302">
        <f>IF($A302="","",IF(COUNTIFS($A$2:$A302,$A302,$C$2:$C302,$C302)=1,1,0))</f>
        <v/>
      </c>
      <c r="O302">
        <f>IF($A302="","",IF($B302&lt;&gt;"",$B302,$O301))</f>
        <v/>
      </c>
    </row>
    <row r="303">
      <c r="N303">
        <f>IF($A303="","",IF(COUNTIFS($A$2:$A303,$A303,$C$2:$C303,$C303)=1,1,0))</f>
        <v/>
      </c>
      <c r="O303">
        <f>IF($A303="","",IF($B303&lt;&gt;"",$B303,$O302))</f>
        <v/>
      </c>
    </row>
    <row r="304">
      <c r="N304">
        <f>IF($A304="","",IF(COUNTIFS($A$2:$A304,$A304,$C$2:$C304,$C304)=1,1,0))</f>
        <v/>
      </c>
      <c r="O304">
        <f>IF($A304="","",IF($B304&lt;&gt;"",$B304,$O303))</f>
        <v/>
      </c>
    </row>
    <row r="305">
      <c r="N305">
        <f>IF($A305="","",IF(COUNTIFS($A$2:$A305,$A305,$C$2:$C305,$C305)=1,1,0))</f>
        <v/>
      </c>
      <c r="O305">
        <f>IF($A305="","",IF($B305&lt;&gt;"",$B305,$O304))</f>
        <v/>
      </c>
    </row>
    <row r="306">
      <c r="N306">
        <f>IF($A306="","",IF(COUNTIFS($A$2:$A306,$A306,$C$2:$C306,$C306)=1,1,0))</f>
        <v/>
      </c>
      <c r="O306">
        <f>IF($A306="","",IF($B306&lt;&gt;"",$B306,$O305))</f>
        <v/>
      </c>
    </row>
    <row r="307">
      <c r="N307">
        <f>IF($A307="","",IF(COUNTIFS($A$2:$A307,$A307,$C$2:$C307,$C307)=1,1,0))</f>
        <v/>
      </c>
      <c r="O307">
        <f>IF($A307="","",IF($B307&lt;&gt;"",$B307,$O306))</f>
        <v/>
      </c>
    </row>
    <row r="308">
      <c r="N308">
        <f>IF($A308="","",IF(COUNTIFS($A$2:$A308,$A308,$C$2:$C308,$C308)=1,1,0))</f>
        <v/>
      </c>
      <c r="O308">
        <f>IF($A308="","",IF($B308&lt;&gt;"",$B308,$O307))</f>
        <v/>
      </c>
    </row>
    <row r="309">
      <c r="N309">
        <f>IF($A309="","",IF(COUNTIFS($A$2:$A309,$A309,$C$2:$C309,$C309)=1,1,0))</f>
        <v/>
      </c>
      <c r="O309">
        <f>IF($A309="","",IF($B309&lt;&gt;"",$B309,$O308))</f>
        <v/>
      </c>
    </row>
    <row r="310">
      <c r="N310">
        <f>IF($A310="","",IF(COUNTIFS($A$2:$A310,$A310,$C$2:$C310,$C310)=1,1,0))</f>
        <v/>
      </c>
      <c r="O310">
        <f>IF($A310="","",IF($B310&lt;&gt;"",$B310,$O309))</f>
        <v/>
      </c>
    </row>
    <row r="311">
      <c r="N311">
        <f>IF($A311="","",IF(COUNTIFS($A$2:$A311,$A311,$C$2:$C311,$C311)=1,1,0))</f>
        <v/>
      </c>
      <c r="O311">
        <f>IF($A311="","",IF($B311&lt;&gt;"",$B311,$O310))</f>
        <v/>
      </c>
    </row>
    <row r="312">
      <c r="N312">
        <f>IF($A312="","",IF(COUNTIFS($A$2:$A312,$A312,$C$2:$C312,$C312)=1,1,0))</f>
        <v/>
      </c>
      <c r="O312">
        <f>IF($A312="","",IF($B312&lt;&gt;"",$B312,$O311))</f>
        <v/>
      </c>
    </row>
    <row r="313">
      <c r="N313">
        <f>IF($A313="","",IF(COUNTIFS($A$2:$A313,$A313,$C$2:$C313,$C313)=1,1,0))</f>
        <v/>
      </c>
      <c r="O313">
        <f>IF($A313="","",IF($B313&lt;&gt;"",$B313,$O312))</f>
        <v/>
      </c>
    </row>
    <row r="314">
      <c r="N314">
        <f>IF($A314="","",IF(COUNTIFS($A$2:$A314,$A314,$C$2:$C314,$C314)=1,1,0))</f>
        <v/>
      </c>
      <c r="O314">
        <f>IF($A314="","",IF($B314&lt;&gt;"",$B314,$O313))</f>
        <v/>
      </c>
    </row>
    <row r="315">
      <c r="N315">
        <f>IF($A315="","",IF(COUNTIFS($A$2:$A315,$A315,$C$2:$C315,$C315)=1,1,0))</f>
        <v/>
      </c>
      <c r="O315">
        <f>IF($A315="","",IF($B315&lt;&gt;"",$B315,$O314))</f>
        <v/>
      </c>
    </row>
    <row r="316">
      <c r="N316">
        <f>IF($A316="","",IF(COUNTIFS($A$2:$A316,$A316,$C$2:$C316,$C316)=1,1,0))</f>
        <v/>
      </c>
      <c r="O316">
        <f>IF($A316="","",IF($B316&lt;&gt;"",$B316,$O315))</f>
        <v/>
      </c>
    </row>
    <row r="317">
      <c r="N317">
        <f>IF($A317="","",IF(COUNTIFS($A$2:$A317,$A317,$C$2:$C317,$C317)=1,1,0))</f>
        <v/>
      </c>
      <c r="O317">
        <f>IF($A317="","",IF($B317&lt;&gt;"",$B317,$O316))</f>
        <v/>
      </c>
    </row>
    <row r="318">
      <c r="N318">
        <f>IF($A318="","",IF(COUNTIFS($A$2:$A318,$A318,$C$2:$C318,$C318)=1,1,0))</f>
        <v/>
      </c>
      <c r="O318">
        <f>IF($A318="","",IF($B318&lt;&gt;"",$B318,$O317))</f>
        <v/>
      </c>
    </row>
    <row r="319">
      <c r="N319">
        <f>IF($A319="","",IF(COUNTIFS($A$2:$A319,$A319,$C$2:$C319,$C319)=1,1,0))</f>
        <v/>
      </c>
      <c r="O319">
        <f>IF($A319="","",IF($B319&lt;&gt;"",$B319,$O318))</f>
        <v/>
      </c>
    </row>
    <row r="320">
      <c r="N320">
        <f>IF($A320="","",IF(COUNTIFS($A$2:$A320,$A320,$C$2:$C320,$C320)=1,1,0))</f>
        <v/>
      </c>
      <c r="O320">
        <f>IF($A320="","",IF($B320&lt;&gt;"",$B320,$O319))</f>
        <v/>
      </c>
    </row>
    <row r="321">
      <c r="N321">
        <f>IF($A321="","",IF(COUNTIFS($A$2:$A321,$A321,$C$2:$C321,$C321)=1,1,0))</f>
        <v/>
      </c>
      <c r="O321">
        <f>IF($A321="","",IF($B321&lt;&gt;"",$B321,$O320))</f>
        <v/>
      </c>
    </row>
    <row r="322">
      <c r="N322">
        <f>IF($A322="","",IF(COUNTIFS($A$2:$A322,$A322,$C$2:$C322,$C322)=1,1,0))</f>
        <v/>
      </c>
      <c r="O322">
        <f>IF($A322="","",IF($B322&lt;&gt;"",$B322,$O321))</f>
        <v/>
      </c>
    </row>
    <row r="323">
      <c r="N323">
        <f>IF($A323="","",IF(COUNTIFS($A$2:$A323,$A323,$C$2:$C323,$C323)=1,1,0))</f>
        <v/>
      </c>
      <c r="O323">
        <f>IF($A323="","",IF($B323&lt;&gt;"",$B323,$O322))</f>
        <v/>
      </c>
    </row>
    <row r="324">
      <c r="N324">
        <f>IF($A324="","",IF(COUNTIFS($A$2:$A324,$A324,$C$2:$C324,$C324)=1,1,0))</f>
        <v/>
      </c>
      <c r="O324">
        <f>IF($A324="","",IF($B324&lt;&gt;"",$B324,$O323))</f>
        <v/>
      </c>
    </row>
    <row r="325">
      <c r="N325">
        <f>IF($A325="","",IF(COUNTIFS($A$2:$A325,$A325,$C$2:$C325,$C325)=1,1,0))</f>
        <v/>
      </c>
      <c r="O325">
        <f>IF($A325="","",IF($B325&lt;&gt;"",$B325,$O324))</f>
        <v/>
      </c>
    </row>
    <row r="326">
      <c r="N326">
        <f>IF($A326="","",IF(COUNTIFS($A$2:$A326,$A326,$C$2:$C326,$C326)=1,1,0))</f>
        <v/>
      </c>
      <c r="O326">
        <f>IF($A326="","",IF($B326&lt;&gt;"",$B326,$O325))</f>
        <v/>
      </c>
    </row>
    <row r="327">
      <c r="N327">
        <f>IF($A327="","",IF(COUNTIFS($A$2:$A327,$A327,$C$2:$C327,$C327)=1,1,0))</f>
        <v/>
      </c>
      <c r="O327">
        <f>IF($A327="","",IF($B327&lt;&gt;"",$B327,$O326))</f>
        <v/>
      </c>
    </row>
    <row r="328">
      <c r="N328">
        <f>IF($A328="","",IF(COUNTIFS($A$2:$A328,$A328,$C$2:$C328,$C328)=1,1,0))</f>
        <v/>
      </c>
      <c r="O328">
        <f>IF($A328="","",IF($B328&lt;&gt;"",$B328,$O327))</f>
        <v/>
      </c>
    </row>
    <row r="329">
      <c r="N329">
        <f>IF($A329="","",IF(COUNTIFS($A$2:$A329,$A329,$C$2:$C329,$C329)=1,1,0))</f>
        <v/>
      </c>
      <c r="O329">
        <f>IF($A329="","",IF($B329&lt;&gt;"",$B329,$O328))</f>
        <v/>
      </c>
    </row>
    <row r="330">
      <c r="N330">
        <f>IF($A330="","",IF(COUNTIFS($A$2:$A330,$A330,$C$2:$C330,$C330)=1,1,0))</f>
        <v/>
      </c>
      <c r="O330">
        <f>IF($A330="","",IF($B330&lt;&gt;"",$B330,$O329))</f>
        <v/>
      </c>
    </row>
    <row r="331">
      <c r="N331">
        <f>IF($A331="","",IF(COUNTIFS($A$2:$A331,$A331,$C$2:$C331,$C331)=1,1,0))</f>
        <v/>
      </c>
      <c r="O331">
        <f>IF($A331="","",IF($B331&lt;&gt;"",$B331,$O330))</f>
        <v/>
      </c>
    </row>
    <row r="332">
      <c r="N332">
        <f>IF($A332="","",IF(COUNTIFS($A$2:$A332,$A332,$C$2:$C332,$C332)=1,1,0))</f>
        <v/>
      </c>
      <c r="O332">
        <f>IF($A332="","",IF($B332&lt;&gt;"",$B332,$O331))</f>
        <v/>
      </c>
    </row>
    <row r="333">
      <c r="N333">
        <f>IF($A333="","",IF(COUNTIFS($A$2:$A333,$A333,$C$2:$C333,$C333)=1,1,0))</f>
        <v/>
      </c>
      <c r="O333">
        <f>IF($A333="","",IF($B333&lt;&gt;"",$B333,$O332))</f>
        <v/>
      </c>
    </row>
    <row r="334">
      <c r="N334">
        <f>IF($A334="","",IF(COUNTIFS($A$2:$A334,$A334,$C$2:$C334,$C334)=1,1,0))</f>
        <v/>
      </c>
      <c r="O334">
        <f>IF($A334="","",IF($B334&lt;&gt;"",$B334,$O333))</f>
        <v/>
      </c>
    </row>
    <row r="335">
      <c r="N335">
        <f>IF($A335="","",IF(COUNTIFS($A$2:$A335,$A335,$C$2:$C335,$C335)=1,1,0))</f>
        <v/>
      </c>
      <c r="O335">
        <f>IF($A335="","",IF($B335&lt;&gt;"",$B335,$O334))</f>
        <v/>
      </c>
    </row>
    <row r="336">
      <c r="N336">
        <f>IF($A336="","",IF(COUNTIFS($A$2:$A336,$A336,$C$2:$C336,$C336)=1,1,0))</f>
        <v/>
      </c>
      <c r="O336">
        <f>IF($A336="","",IF($B336&lt;&gt;"",$B336,$O335))</f>
        <v/>
      </c>
    </row>
    <row r="337">
      <c r="N337">
        <f>IF($A337="","",IF(COUNTIFS($A$2:$A337,$A337,$C$2:$C337,$C337)=1,1,0))</f>
        <v/>
      </c>
      <c r="O337">
        <f>IF($A337="","",IF($B337&lt;&gt;"",$B337,$O336))</f>
        <v/>
      </c>
    </row>
    <row r="338">
      <c r="N338">
        <f>IF($A338="","",IF(COUNTIFS($A$2:$A338,$A338,$C$2:$C338,$C338)=1,1,0))</f>
        <v/>
      </c>
      <c r="O338">
        <f>IF($A338="","",IF($B338&lt;&gt;"",$B338,$O337))</f>
        <v/>
      </c>
    </row>
    <row r="339">
      <c r="N339">
        <f>IF($A339="","",IF(COUNTIFS($A$2:$A339,$A339,$C$2:$C339,$C339)=1,1,0))</f>
        <v/>
      </c>
      <c r="O339">
        <f>IF($A339="","",IF($B339&lt;&gt;"",$B339,$O338))</f>
        <v/>
      </c>
    </row>
    <row r="340">
      <c r="N340">
        <f>IF($A340="","",IF(COUNTIFS($A$2:$A340,$A340,$C$2:$C340,$C340)=1,1,0))</f>
        <v/>
      </c>
      <c r="O340">
        <f>IF($A340="","",IF($B340&lt;&gt;"",$B340,$O339))</f>
        <v/>
      </c>
    </row>
    <row r="341">
      <c r="N341">
        <f>IF($A341="","",IF(COUNTIFS($A$2:$A341,$A341,$C$2:$C341,$C341)=1,1,0))</f>
        <v/>
      </c>
      <c r="O341">
        <f>IF($A341="","",IF($B341&lt;&gt;"",$B341,$O340))</f>
        <v/>
      </c>
    </row>
    <row r="342">
      <c r="N342">
        <f>IF($A342="","",IF(COUNTIFS($A$2:$A342,$A342,$C$2:$C342,$C342)=1,1,0))</f>
        <v/>
      </c>
      <c r="O342">
        <f>IF($A342="","",IF($B342&lt;&gt;"",$B342,$O341))</f>
        <v/>
      </c>
    </row>
    <row r="343">
      <c r="N343">
        <f>IF($A343="","",IF(COUNTIFS($A$2:$A343,$A343,$C$2:$C343,$C343)=1,1,0))</f>
        <v/>
      </c>
      <c r="O343">
        <f>IF($A343="","",IF($B343&lt;&gt;"",$B343,$O342))</f>
        <v/>
      </c>
    </row>
    <row r="344">
      <c r="N344">
        <f>IF($A344="","",IF(COUNTIFS($A$2:$A344,$A344,$C$2:$C344,$C344)=1,1,0))</f>
        <v/>
      </c>
      <c r="O344">
        <f>IF($A344="","",IF($B344&lt;&gt;"",$B344,$O343))</f>
        <v/>
      </c>
    </row>
    <row r="345">
      <c r="N345">
        <f>IF($A345="","",IF(COUNTIFS($A$2:$A345,$A345,$C$2:$C345,$C345)=1,1,0))</f>
        <v/>
      </c>
      <c r="O345">
        <f>IF($A345="","",IF($B345&lt;&gt;"",$B345,$O344))</f>
        <v/>
      </c>
    </row>
    <row r="346">
      <c r="N346">
        <f>IF($A346="","",IF(COUNTIFS($A$2:$A346,$A346,$C$2:$C346,$C346)=1,1,0))</f>
        <v/>
      </c>
      <c r="O346">
        <f>IF($A346="","",IF($B346&lt;&gt;"",$B346,$O345))</f>
        <v/>
      </c>
    </row>
    <row r="347">
      <c r="N347">
        <f>IF($A347="","",IF(COUNTIFS($A$2:$A347,$A347,$C$2:$C347,$C347)=1,1,0))</f>
        <v/>
      </c>
      <c r="O347">
        <f>IF($A347="","",IF($B347&lt;&gt;"",$B347,$O346))</f>
        <v/>
      </c>
    </row>
    <row r="348">
      <c r="N348">
        <f>IF($A348="","",IF(COUNTIFS($A$2:$A348,$A348,$C$2:$C348,$C348)=1,1,0))</f>
        <v/>
      </c>
      <c r="O348">
        <f>IF($A348="","",IF($B348&lt;&gt;"",$B348,$O347))</f>
        <v/>
      </c>
    </row>
    <row r="349">
      <c r="N349">
        <f>IF($A349="","",IF(COUNTIFS($A$2:$A349,$A349,$C$2:$C349,$C349)=1,1,0))</f>
        <v/>
      </c>
      <c r="O349">
        <f>IF($A349="","",IF($B349&lt;&gt;"",$B349,$O348))</f>
        <v/>
      </c>
    </row>
    <row r="350">
      <c r="N350">
        <f>IF($A350="","",IF(COUNTIFS($A$2:$A350,$A350,$C$2:$C350,$C350)=1,1,0))</f>
        <v/>
      </c>
      <c r="O350">
        <f>IF($A350="","",IF($B350&lt;&gt;"",$B350,$O349))</f>
        <v/>
      </c>
    </row>
    <row r="351">
      <c r="N351">
        <f>IF($A351="","",IF(COUNTIFS($A$2:$A351,$A351,$C$2:$C351,$C351)=1,1,0))</f>
        <v/>
      </c>
      <c r="O351">
        <f>IF($A351="","",IF($B351&lt;&gt;"",$B351,$O350))</f>
        <v/>
      </c>
    </row>
    <row r="352">
      <c r="N352">
        <f>IF($A352="","",IF(COUNTIFS($A$2:$A352,$A352,$C$2:$C352,$C352)=1,1,0))</f>
        <v/>
      </c>
      <c r="O352">
        <f>IF($A352="","",IF($B352&lt;&gt;"",$B352,$O351))</f>
        <v/>
      </c>
    </row>
    <row r="353">
      <c r="N353">
        <f>IF($A353="","",IF(COUNTIFS($A$2:$A353,$A353,$C$2:$C353,$C353)=1,1,0))</f>
        <v/>
      </c>
      <c r="O353">
        <f>IF($A353="","",IF($B353&lt;&gt;"",$B353,$O352))</f>
        <v/>
      </c>
    </row>
    <row r="354">
      <c r="N354">
        <f>IF($A354="","",IF(COUNTIFS($A$2:$A354,$A354,$C$2:$C354,$C354)=1,1,0))</f>
        <v/>
      </c>
      <c r="O354">
        <f>IF($A354="","",IF($B354&lt;&gt;"",$B354,$O353))</f>
        <v/>
      </c>
    </row>
    <row r="355">
      <c r="N355">
        <f>IF($A355="","",IF(COUNTIFS($A$2:$A355,$A355,$C$2:$C355,$C355)=1,1,0))</f>
        <v/>
      </c>
      <c r="O355">
        <f>IF($A355="","",IF($B355&lt;&gt;"",$B355,$O354))</f>
        <v/>
      </c>
    </row>
    <row r="356">
      <c r="N356">
        <f>IF($A356="","",IF(COUNTIFS($A$2:$A356,$A356,$C$2:$C356,$C356)=1,1,0))</f>
        <v/>
      </c>
      <c r="O356">
        <f>IF($A356="","",IF($B356&lt;&gt;"",$B356,$O355))</f>
        <v/>
      </c>
    </row>
    <row r="357">
      <c r="N357">
        <f>IF($A357="","",IF(COUNTIFS($A$2:$A357,$A357,$C$2:$C357,$C357)=1,1,0))</f>
        <v/>
      </c>
      <c r="O357">
        <f>IF($A357="","",IF($B357&lt;&gt;"",$B357,$O356))</f>
        <v/>
      </c>
    </row>
    <row r="358">
      <c r="N358">
        <f>IF($A358="","",IF(COUNTIFS($A$2:$A358,$A358,$C$2:$C358,$C358)=1,1,0))</f>
        <v/>
      </c>
      <c r="O358">
        <f>IF($A358="","",IF($B358&lt;&gt;"",$B358,$O357))</f>
        <v/>
      </c>
    </row>
    <row r="359">
      <c r="N359">
        <f>IF($A359="","",IF(COUNTIFS($A$2:$A359,$A359,$C$2:$C359,$C359)=1,1,0))</f>
        <v/>
      </c>
      <c r="O359">
        <f>IF($A359="","",IF($B359&lt;&gt;"",$B359,$O358))</f>
        <v/>
      </c>
    </row>
    <row r="360">
      <c r="N360">
        <f>IF($A360="","",IF(COUNTIFS($A$2:$A360,$A360,$C$2:$C360,$C360)=1,1,0))</f>
        <v/>
      </c>
      <c r="O360">
        <f>IF($A360="","",IF($B360&lt;&gt;"",$B360,$O359))</f>
        <v/>
      </c>
    </row>
    <row r="361">
      <c r="N361">
        <f>IF($A361="","",IF(COUNTIFS($A$2:$A361,$A361,$C$2:$C361,$C361)=1,1,0))</f>
        <v/>
      </c>
      <c r="O361">
        <f>IF($A361="","",IF($B361&lt;&gt;"",$B361,$O360))</f>
        <v/>
      </c>
    </row>
    <row r="362">
      <c r="N362">
        <f>IF($A362="","",IF(COUNTIFS($A$2:$A362,$A362,$C$2:$C362,$C362)=1,1,0))</f>
        <v/>
      </c>
      <c r="O362">
        <f>IF($A362="","",IF($B362&lt;&gt;"",$B362,$O361))</f>
        <v/>
      </c>
    </row>
    <row r="363">
      <c r="N363">
        <f>IF($A363="","",IF(COUNTIFS($A$2:$A363,$A363,$C$2:$C363,$C363)=1,1,0))</f>
        <v/>
      </c>
      <c r="O363">
        <f>IF($A363="","",IF($B363&lt;&gt;"",$B363,$O362))</f>
        <v/>
      </c>
    </row>
    <row r="364">
      <c r="N364">
        <f>IF($A364="","",IF(COUNTIFS($A$2:$A364,$A364,$C$2:$C364,$C364)=1,1,0))</f>
        <v/>
      </c>
      <c r="O364">
        <f>IF($A364="","",IF($B364&lt;&gt;"",$B364,$O363))</f>
        <v/>
      </c>
    </row>
    <row r="365">
      <c r="N365">
        <f>IF($A365="","",IF(COUNTIFS($A$2:$A365,$A365,$C$2:$C365,$C365)=1,1,0))</f>
        <v/>
      </c>
      <c r="O365">
        <f>IF($A365="","",IF($B365&lt;&gt;"",$B365,$O364))</f>
        <v/>
      </c>
    </row>
    <row r="366">
      <c r="N366">
        <f>IF($A366="","",IF(COUNTIFS($A$2:$A366,$A366,$C$2:$C366,$C366)=1,1,0))</f>
        <v/>
      </c>
      <c r="O366">
        <f>IF($A366="","",IF($B366&lt;&gt;"",$B366,$O365))</f>
        <v/>
      </c>
    </row>
    <row r="367">
      <c r="N367">
        <f>IF($A367="","",IF(COUNTIFS($A$2:$A367,$A367,$C$2:$C367,$C367)=1,1,0))</f>
        <v/>
      </c>
      <c r="O367">
        <f>IF($A367="","",IF($B367&lt;&gt;"",$B367,$O366))</f>
        <v/>
      </c>
    </row>
    <row r="368">
      <c r="N368">
        <f>IF($A368="","",IF(COUNTIFS($A$2:$A368,$A368,$C$2:$C368,$C368)=1,1,0))</f>
        <v/>
      </c>
      <c r="O368">
        <f>IF($A368="","",IF($B368&lt;&gt;"",$B368,$O367))</f>
        <v/>
      </c>
    </row>
    <row r="369">
      <c r="N369">
        <f>IF($A369="","",IF(COUNTIFS($A$2:$A369,$A369,$C$2:$C369,$C369)=1,1,0))</f>
        <v/>
      </c>
      <c r="O369">
        <f>IF($A369="","",IF($B369&lt;&gt;"",$B369,$O368))</f>
        <v/>
      </c>
    </row>
    <row r="370">
      <c r="N370">
        <f>IF($A370="","",IF(COUNTIFS($A$2:$A370,$A370,$C$2:$C370,$C370)=1,1,0))</f>
        <v/>
      </c>
      <c r="O370">
        <f>IF($A370="","",IF($B370&lt;&gt;"",$B370,$O369))</f>
        <v/>
      </c>
    </row>
    <row r="371">
      <c r="N371">
        <f>IF($A371="","",IF(COUNTIFS($A$2:$A371,$A371,$C$2:$C371,$C371)=1,1,0))</f>
        <v/>
      </c>
      <c r="O371">
        <f>IF($A371="","",IF($B371&lt;&gt;"",$B371,$O370))</f>
        <v/>
      </c>
    </row>
    <row r="372">
      <c r="N372">
        <f>IF($A372="","",IF(COUNTIFS($A$2:$A372,$A372,$C$2:$C372,$C372)=1,1,0))</f>
        <v/>
      </c>
      <c r="O372">
        <f>IF($A372="","",IF($B372&lt;&gt;"",$B372,$O371))</f>
        <v/>
      </c>
    </row>
    <row r="373">
      <c r="N373">
        <f>IF($A373="","",IF(COUNTIFS($A$2:$A373,$A373,$C$2:$C373,$C373)=1,1,0))</f>
        <v/>
      </c>
      <c r="O373">
        <f>IF($A373="","",IF($B373&lt;&gt;"",$B373,$O372))</f>
        <v/>
      </c>
    </row>
    <row r="374">
      <c r="N374">
        <f>IF($A374="","",IF(COUNTIFS($A$2:$A374,$A374,$C$2:$C374,$C374)=1,1,0))</f>
        <v/>
      </c>
      <c r="O374">
        <f>IF($A374="","",IF($B374&lt;&gt;"",$B374,$O373))</f>
        <v/>
      </c>
    </row>
    <row r="375">
      <c r="N375">
        <f>IF($A375="","",IF(COUNTIFS($A$2:$A375,$A375,$C$2:$C375,$C375)=1,1,0))</f>
        <v/>
      </c>
      <c r="O375">
        <f>IF($A375="","",IF($B375&lt;&gt;"",$B375,$O374))</f>
        <v/>
      </c>
    </row>
    <row r="376">
      <c r="N376">
        <f>IF($A376="","",IF(COUNTIFS($A$2:$A376,$A376,$C$2:$C376,$C376)=1,1,0))</f>
        <v/>
      </c>
      <c r="O376">
        <f>IF($A376="","",IF($B376&lt;&gt;"",$B376,$O375))</f>
        <v/>
      </c>
    </row>
    <row r="377">
      <c r="N377">
        <f>IF($A377="","",IF(COUNTIFS($A$2:$A377,$A377,$C$2:$C377,$C377)=1,1,0))</f>
        <v/>
      </c>
      <c r="O377">
        <f>IF($A377="","",IF($B377&lt;&gt;"",$B377,$O376))</f>
        <v/>
      </c>
    </row>
    <row r="378">
      <c r="N378">
        <f>IF($A378="","",IF(COUNTIFS($A$2:$A378,$A378,$C$2:$C378,$C378)=1,1,0))</f>
        <v/>
      </c>
      <c r="O378">
        <f>IF($A378="","",IF($B378&lt;&gt;"",$B378,$O377))</f>
        <v/>
      </c>
    </row>
    <row r="379">
      <c r="N379">
        <f>IF($A379="","",IF(COUNTIFS($A$2:$A379,$A379,$C$2:$C379,$C379)=1,1,0))</f>
        <v/>
      </c>
      <c r="O379">
        <f>IF($A379="","",IF($B379&lt;&gt;"",$B379,$O378))</f>
        <v/>
      </c>
    </row>
    <row r="380">
      <c r="N380">
        <f>IF($A380="","",IF(COUNTIFS($A$2:$A380,$A380,$C$2:$C380,$C380)=1,1,0))</f>
        <v/>
      </c>
      <c r="O380">
        <f>IF($A380="","",IF($B380&lt;&gt;"",$B380,$O379))</f>
        <v/>
      </c>
    </row>
    <row r="381">
      <c r="N381">
        <f>IF($A381="","",IF(COUNTIFS($A$2:$A381,$A381,$C$2:$C381,$C381)=1,1,0))</f>
        <v/>
      </c>
      <c r="O381">
        <f>IF($A381="","",IF($B381&lt;&gt;"",$B381,$O380))</f>
        <v/>
      </c>
    </row>
    <row r="382">
      <c r="N382">
        <f>IF($A382="","",IF(COUNTIFS($A$2:$A382,$A382,$C$2:$C382,$C382)=1,1,0))</f>
        <v/>
      </c>
      <c r="O382">
        <f>IF($A382="","",IF($B382&lt;&gt;"",$B382,$O381))</f>
        <v/>
      </c>
    </row>
    <row r="383">
      <c r="N383">
        <f>IF($A383="","",IF(COUNTIFS($A$2:$A383,$A383,$C$2:$C383,$C383)=1,1,0))</f>
        <v/>
      </c>
      <c r="O383">
        <f>IF($A383="","",IF($B383&lt;&gt;"",$B383,$O382))</f>
        <v/>
      </c>
    </row>
    <row r="384">
      <c r="N384">
        <f>IF($A384="","",IF(COUNTIFS($A$2:$A384,$A384,$C$2:$C384,$C384)=1,1,0))</f>
        <v/>
      </c>
      <c r="O384">
        <f>IF($A384="","",IF($B384&lt;&gt;"",$B384,$O383))</f>
        <v/>
      </c>
    </row>
    <row r="385">
      <c r="N385">
        <f>IF($A385="","",IF(COUNTIFS($A$2:$A385,$A385,$C$2:$C385,$C385)=1,1,0))</f>
        <v/>
      </c>
      <c r="O385">
        <f>IF($A385="","",IF($B385&lt;&gt;"",$B385,$O384))</f>
        <v/>
      </c>
    </row>
    <row r="386">
      <c r="N386">
        <f>IF($A386="","",IF(COUNTIFS($A$2:$A386,$A386,$C$2:$C386,$C386)=1,1,0))</f>
        <v/>
      </c>
      <c r="O386">
        <f>IF($A386="","",IF($B386&lt;&gt;"",$B386,$O385))</f>
        <v/>
      </c>
    </row>
    <row r="387">
      <c r="N387">
        <f>IF($A387="","",IF(COUNTIFS($A$2:$A387,$A387,$C$2:$C387,$C387)=1,1,0))</f>
        <v/>
      </c>
      <c r="O387">
        <f>IF($A387="","",IF($B387&lt;&gt;"",$B387,$O386))</f>
        <v/>
      </c>
    </row>
    <row r="388">
      <c r="N388">
        <f>IF($A388="","",IF(COUNTIFS($A$2:$A388,$A388,$C$2:$C388,$C388)=1,1,0))</f>
        <v/>
      </c>
      <c r="O388">
        <f>IF($A388="","",IF($B388&lt;&gt;"",$B388,$O387))</f>
        <v/>
      </c>
    </row>
    <row r="389">
      <c r="N389">
        <f>IF($A389="","",IF(COUNTIFS($A$2:$A389,$A389,$C$2:$C389,$C389)=1,1,0))</f>
        <v/>
      </c>
      <c r="O389">
        <f>IF($A389="","",IF($B389&lt;&gt;"",$B389,$O388))</f>
        <v/>
      </c>
    </row>
    <row r="390">
      <c r="N390">
        <f>IF($A390="","",IF(COUNTIFS($A$2:$A390,$A390,$C$2:$C390,$C390)=1,1,0))</f>
        <v/>
      </c>
      <c r="O390">
        <f>IF($A390="","",IF($B390&lt;&gt;"",$B390,$O389))</f>
        <v/>
      </c>
    </row>
    <row r="391">
      <c r="N391">
        <f>IF($A391="","",IF(COUNTIFS($A$2:$A391,$A391,$C$2:$C391,$C391)=1,1,0))</f>
        <v/>
      </c>
      <c r="O391">
        <f>IF($A391="","",IF($B391&lt;&gt;"",$B391,$O390))</f>
        <v/>
      </c>
    </row>
    <row r="392">
      <c r="N392">
        <f>IF($A392="","",IF(COUNTIFS($A$2:$A392,$A392,$C$2:$C392,$C392)=1,1,0))</f>
        <v/>
      </c>
      <c r="O392">
        <f>IF($A392="","",IF($B392&lt;&gt;"",$B392,$O391))</f>
        <v/>
      </c>
    </row>
    <row r="393">
      <c r="N393">
        <f>IF($A393="","",IF(COUNTIFS($A$2:$A393,$A393,$C$2:$C393,$C393)=1,1,0))</f>
        <v/>
      </c>
      <c r="O393">
        <f>IF($A393="","",IF($B393&lt;&gt;"",$B393,$O392))</f>
        <v/>
      </c>
    </row>
    <row r="394">
      <c r="N394">
        <f>IF($A394="","",IF(COUNTIFS($A$2:$A394,$A394,$C$2:$C394,$C394)=1,1,0))</f>
        <v/>
      </c>
      <c r="O394">
        <f>IF($A394="","",IF($B394&lt;&gt;"",$B394,$O393))</f>
        <v/>
      </c>
    </row>
    <row r="395">
      <c r="N395">
        <f>IF($A395="","",IF(COUNTIFS($A$2:$A395,$A395,$C$2:$C395,$C395)=1,1,0))</f>
        <v/>
      </c>
      <c r="O395">
        <f>IF($A395="","",IF($B395&lt;&gt;"",$B395,$O394))</f>
        <v/>
      </c>
    </row>
    <row r="396">
      <c r="N396">
        <f>IF($A396="","",IF(COUNTIFS($A$2:$A396,$A396,$C$2:$C396,$C396)=1,1,0))</f>
        <v/>
      </c>
      <c r="O396">
        <f>IF($A396="","",IF($B396&lt;&gt;"",$B396,$O395))</f>
        <v/>
      </c>
    </row>
    <row r="397">
      <c r="N397">
        <f>IF($A397="","",IF(COUNTIFS($A$2:$A397,$A397,$C$2:$C397,$C397)=1,1,0))</f>
        <v/>
      </c>
      <c r="O397">
        <f>IF($A397="","",IF($B397&lt;&gt;"",$B397,$O396))</f>
        <v/>
      </c>
    </row>
    <row r="398">
      <c r="N398">
        <f>IF($A398="","",IF(COUNTIFS($A$2:$A398,$A398,$C$2:$C398,$C398)=1,1,0))</f>
        <v/>
      </c>
      <c r="O398">
        <f>IF($A398="","",IF($B398&lt;&gt;"",$B398,$O397))</f>
        <v/>
      </c>
    </row>
    <row r="399">
      <c r="N399">
        <f>IF($A399="","",IF(COUNTIFS($A$2:$A399,$A399,$C$2:$C399,$C399)=1,1,0))</f>
        <v/>
      </c>
      <c r="O399">
        <f>IF($A399="","",IF($B399&lt;&gt;"",$B399,$O398))</f>
        <v/>
      </c>
    </row>
    <row r="400">
      <c r="N400">
        <f>IF($A400="","",IF(COUNTIFS($A$2:$A400,$A400,$C$2:$C400,$C400)=1,1,0))</f>
        <v/>
      </c>
      <c r="O400">
        <f>IF($A400="","",IF($B400&lt;&gt;"",$B400,$O399))</f>
        <v/>
      </c>
    </row>
    <row r="401">
      <c r="N401">
        <f>IF($A401="","",IF(COUNTIFS($A$2:$A401,$A401,$C$2:$C401,$C401)=1,1,0))</f>
        <v/>
      </c>
      <c r="O401">
        <f>IF($A401="","",IF($B401&lt;&gt;"",$B401,$O400))</f>
        <v/>
      </c>
    </row>
    <row r="402">
      <c r="N402">
        <f>IF($A402="","",IF(COUNTIFS($A$2:$A402,$A402,$C$2:$C402,$C402)=1,1,0))</f>
        <v/>
      </c>
      <c r="O402">
        <f>IF($A402="","",IF($B402&lt;&gt;"",$B402,$O401))</f>
        <v/>
      </c>
    </row>
    <row r="403">
      <c r="N403">
        <f>IF($A403="","",IF(COUNTIFS($A$2:$A403,$A403,$C$2:$C403,$C403)=1,1,0))</f>
        <v/>
      </c>
      <c r="O403">
        <f>IF($A403="","",IF($B403&lt;&gt;"",$B403,$O402))</f>
        <v/>
      </c>
    </row>
    <row r="404">
      <c r="N404">
        <f>IF($A404="","",IF(COUNTIFS($A$2:$A404,$A404,$C$2:$C404,$C404)=1,1,0))</f>
        <v/>
      </c>
      <c r="O404">
        <f>IF($A404="","",IF($B404&lt;&gt;"",$B404,$O403))</f>
        <v/>
      </c>
    </row>
    <row r="405">
      <c r="N405">
        <f>IF($A405="","",IF(COUNTIFS($A$2:$A405,$A405,$C$2:$C405,$C405)=1,1,0))</f>
        <v/>
      </c>
      <c r="O405">
        <f>IF($A405="","",IF($B405&lt;&gt;"",$B405,$O404))</f>
        <v/>
      </c>
    </row>
    <row r="406">
      <c r="N406">
        <f>IF($A406="","",IF(COUNTIFS($A$2:$A406,$A406,$C$2:$C406,$C406)=1,1,0))</f>
        <v/>
      </c>
      <c r="O406">
        <f>IF($A406="","",IF($B406&lt;&gt;"",$B406,$O405))</f>
        <v/>
      </c>
    </row>
    <row r="407">
      <c r="N407">
        <f>IF($A407="","",IF(COUNTIFS($A$2:$A407,$A407,$C$2:$C407,$C407)=1,1,0))</f>
        <v/>
      </c>
      <c r="O407">
        <f>IF($A407="","",IF($B407&lt;&gt;"",$B407,$O406))</f>
        <v/>
      </c>
    </row>
    <row r="408">
      <c r="N408">
        <f>IF($A408="","",IF(COUNTIFS($A$2:$A408,$A408,$C$2:$C408,$C408)=1,1,0))</f>
        <v/>
      </c>
      <c r="O408">
        <f>IF($A408="","",IF($B408&lt;&gt;"",$B408,$O407))</f>
        <v/>
      </c>
    </row>
    <row r="409">
      <c r="N409">
        <f>IF($A409="","",IF(COUNTIFS($A$2:$A409,$A409,$C$2:$C409,$C409)=1,1,0))</f>
        <v/>
      </c>
      <c r="O409">
        <f>IF($A409="","",IF($B409&lt;&gt;"",$B409,$O408))</f>
        <v/>
      </c>
    </row>
    <row r="410">
      <c r="N410">
        <f>IF($A410="","",IF(COUNTIFS($A$2:$A410,$A410,$C$2:$C410,$C410)=1,1,0))</f>
        <v/>
      </c>
      <c r="O410">
        <f>IF($A410="","",IF($B410&lt;&gt;"",$B410,$O409))</f>
        <v/>
      </c>
    </row>
    <row r="411">
      <c r="N411">
        <f>IF($A411="","",IF(COUNTIFS($A$2:$A411,$A411,$C$2:$C411,$C411)=1,1,0))</f>
        <v/>
      </c>
      <c r="O411">
        <f>IF($A411="","",IF($B411&lt;&gt;"",$B411,$O410))</f>
        <v/>
      </c>
    </row>
    <row r="412">
      <c r="N412">
        <f>IF($A412="","",IF(COUNTIFS($A$2:$A412,$A412,$C$2:$C412,$C412)=1,1,0))</f>
        <v/>
      </c>
      <c r="O412">
        <f>IF($A412="","",IF($B412&lt;&gt;"",$B412,$O411))</f>
        <v/>
      </c>
    </row>
    <row r="413">
      <c r="N413">
        <f>IF($A413="","",IF(COUNTIFS($A$2:$A413,$A413,$C$2:$C413,$C413)=1,1,0))</f>
        <v/>
      </c>
      <c r="O413">
        <f>IF($A413="","",IF($B413&lt;&gt;"",$B413,$O412))</f>
        <v/>
      </c>
    </row>
    <row r="414">
      <c r="N414">
        <f>IF($A414="","",IF(COUNTIFS($A$2:$A414,$A414,$C$2:$C414,$C414)=1,1,0))</f>
        <v/>
      </c>
      <c r="O414">
        <f>IF($A414="","",IF($B414&lt;&gt;"",$B414,$O413))</f>
        <v/>
      </c>
    </row>
    <row r="415">
      <c r="N415">
        <f>IF($A415="","",IF(COUNTIFS($A$2:$A415,$A415,$C$2:$C415,$C415)=1,1,0))</f>
        <v/>
      </c>
      <c r="O415">
        <f>IF($A415="","",IF($B415&lt;&gt;"",$B415,$O414))</f>
        <v/>
      </c>
    </row>
    <row r="416">
      <c r="N416">
        <f>IF($A416="","",IF(COUNTIFS($A$2:$A416,$A416,$C$2:$C416,$C416)=1,1,0))</f>
        <v/>
      </c>
      <c r="O416">
        <f>IF($A416="","",IF($B416&lt;&gt;"",$B416,$O415))</f>
        <v/>
      </c>
    </row>
    <row r="417">
      <c r="N417">
        <f>IF($A417="","",IF(COUNTIFS($A$2:$A417,$A417,$C$2:$C417,$C417)=1,1,0))</f>
        <v/>
      </c>
      <c r="O417">
        <f>IF($A417="","",IF($B417&lt;&gt;"",$B417,$O416))</f>
        <v/>
      </c>
    </row>
    <row r="418">
      <c r="N418">
        <f>IF($A418="","",IF(COUNTIFS($A$2:$A418,$A418,$C$2:$C418,$C418)=1,1,0))</f>
        <v/>
      </c>
      <c r="O418">
        <f>IF($A418="","",IF($B418&lt;&gt;"",$B418,$O417))</f>
        <v/>
      </c>
    </row>
    <row r="419">
      <c r="N419">
        <f>IF($A419="","",IF(COUNTIFS($A$2:$A419,$A419,$C$2:$C419,$C419)=1,1,0))</f>
        <v/>
      </c>
      <c r="O419">
        <f>IF($A419="","",IF($B419&lt;&gt;"",$B419,$O418))</f>
        <v/>
      </c>
    </row>
    <row r="420">
      <c r="N420">
        <f>IF($A420="","",IF(COUNTIFS($A$2:$A420,$A420,$C$2:$C420,$C420)=1,1,0))</f>
        <v/>
      </c>
      <c r="O420">
        <f>IF($A420="","",IF($B420&lt;&gt;"",$B420,$O419))</f>
        <v/>
      </c>
    </row>
    <row r="421">
      <c r="N421">
        <f>IF($A421="","",IF(COUNTIFS($A$2:$A421,$A421,$C$2:$C421,$C421)=1,1,0))</f>
        <v/>
      </c>
      <c r="O421">
        <f>IF($A421="","",IF($B421&lt;&gt;"",$B421,$O420))</f>
        <v/>
      </c>
    </row>
    <row r="422">
      <c r="N422">
        <f>IF($A422="","",IF(COUNTIFS($A$2:$A422,$A422,$C$2:$C422,$C422)=1,1,0))</f>
        <v/>
      </c>
      <c r="O422">
        <f>IF($A422="","",IF($B422&lt;&gt;"",$B422,$O421))</f>
        <v/>
      </c>
    </row>
    <row r="423">
      <c r="N423">
        <f>IF($A423="","",IF(COUNTIFS($A$2:$A423,$A423,$C$2:$C423,$C423)=1,1,0))</f>
        <v/>
      </c>
      <c r="O423">
        <f>IF($A423="","",IF($B423&lt;&gt;"",$B423,$O422))</f>
        <v/>
      </c>
    </row>
    <row r="424">
      <c r="N424">
        <f>IF($A424="","",IF(COUNTIFS($A$2:$A424,$A424,$C$2:$C424,$C424)=1,1,0))</f>
        <v/>
      </c>
      <c r="O424">
        <f>IF($A424="","",IF($B424&lt;&gt;"",$B424,$O423))</f>
        <v/>
      </c>
    </row>
    <row r="425">
      <c r="N425">
        <f>IF($A425="","",IF(COUNTIFS($A$2:$A425,$A425,$C$2:$C425,$C425)=1,1,0))</f>
        <v/>
      </c>
      <c r="O425">
        <f>IF($A425="","",IF($B425&lt;&gt;"",$B425,$O424))</f>
        <v/>
      </c>
    </row>
    <row r="426">
      <c r="N426">
        <f>IF($A426="","",IF(COUNTIFS($A$2:$A426,$A426,$C$2:$C426,$C426)=1,1,0))</f>
        <v/>
      </c>
      <c r="O426">
        <f>IF($A426="","",IF($B426&lt;&gt;"",$B426,$O425))</f>
        <v/>
      </c>
    </row>
    <row r="427">
      <c r="N427">
        <f>IF($A427="","",IF(COUNTIFS($A$2:$A427,$A427,$C$2:$C427,$C427)=1,1,0))</f>
        <v/>
      </c>
      <c r="O427">
        <f>IF($A427="","",IF($B427&lt;&gt;"",$B427,$O426))</f>
        <v/>
      </c>
    </row>
    <row r="428">
      <c r="N428">
        <f>IF($A428="","",IF(COUNTIFS($A$2:$A428,$A428,$C$2:$C428,$C428)=1,1,0))</f>
        <v/>
      </c>
      <c r="O428">
        <f>IF($A428="","",IF($B428&lt;&gt;"",$B428,$O427))</f>
        <v/>
      </c>
    </row>
    <row r="429">
      <c r="N429">
        <f>IF($A429="","",IF(COUNTIFS($A$2:$A429,$A429,$C$2:$C429,$C429)=1,1,0))</f>
        <v/>
      </c>
      <c r="O429">
        <f>IF($A429="","",IF($B429&lt;&gt;"",$B429,$O428))</f>
        <v/>
      </c>
    </row>
    <row r="430">
      <c r="N430">
        <f>IF($A430="","",IF(COUNTIFS($A$2:$A430,$A430,$C$2:$C430,$C430)=1,1,0))</f>
        <v/>
      </c>
      <c r="O430">
        <f>IF($A430="","",IF($B430&lt;&gt;"",$B430,$O429))</f>
        <v/>
      </c>
    </row>
    <row r="431">
      <c r="N431">
        <f>IF($A431="","",IF(COUNTIFS($A$2:$A431,$A431,$C$2:$C431,$C431)=1,1,0))</f>
        <v/>
      </c>
      <c r="O431">
        <f>IF($A431="","",IF($B431&lt;&gt;"",$B431,$O430))</f>
        <v/>
      </c>
    </row>
    <row r="432">
      <c r="N432">
        <f>IF($A432="","",IF(COUNTIFS($A$2:$A432,$A432,$C$2:$C432,$C432)=1,1,0))</f>
        <v/>
      </c>
      <c r="O432">
        <f>IF($A432="","",IF($B432&lt;&gt;"",$B432,$O431))</f>
        <v/>
      </c>
    </row>
    <row r="433">
      <c r="N433">
        <f>IF($A433="","",IF(COUNTIFS($A$2:$A433,$A433,$C$2:$C433,$C433)=1,1,0))</f>
        <v/>
      </c>
      <c r="O433">
        <f>IF($A433="","",IF($B433&lt;&gt;"",$B433,$O432))</f>
        <v/>
      </c>
    </row>
    <row r="434">
      <c r="N434">
        <f>IF($A434="","",IF(COUNTIFS($A$2:$A434,$A434,$C$2:$C434,$C434)=1,1,0))</f>
        <v/>
      </c>
      <c r="O434">
        <f>IF($A434="","",IF($B434&lt;&gt;"",$B434,$O433))</f>
        <v/>
      </c>
    </row>
    <row r="435">
      <c r="N435">
        <f>IF($A435="","",IF(COUNTIFS($A$2:$A435,$A435,$C$2:$C435,$C435)=1,1,0))</f>
        <v/>
      </c>
      <c r="O435">
        <f>IF($A435="","",IF($B435&lt;&gt;"",$B435,$O434))</f>
        <v/>
      </c>
    </row>
    <row r="436">
      <c r="N436">
        <f>IF($A436="","",IF(COUNTIFS($A$2:$A436,$A436,$C$2:$C436,$C436)=1,1,0))</f>
        <v/>
      </c>
      <c r="O436">
        <f>IF($A436="","",IF($B436&lt;&gt;"",$B436,$O435))</f>
        <v/>
      </c>
    </row>
    <row r="437">
      <c r="N437">
        <f>IF($A437="","",IF(COUNTIFS($A$2:$A437,$A437,$C$2:$C437,$C437)=1,1,0))</f>
        <v/>
      </c>
      <c r="O437">
        <f>IF($A437="","",IF($B437&lt;&gt;"",$B437,$O436))</f>
        <v/>
      </c>
    </row>
    <row r="438">
      <c r="N438">
        <f>IF($A438="","",IF(COUNTIFS($A$2:$A438,$A438,$C$2:$C438,$C438)=1,1,0))</f>
        <v/>
      </c>
      <c r="O438">
        <f>IF($A438="","",IF($B438&lt;&gt;"",$B438,$O437))</f>
        <v/>
      </c>
    </row>
    <row r="439">
      <c r="N439">
        <f>IF($A439="","",IF(COUNTIFS($A$2:$A439,$A439,$C$2:$C439,$C439)=1,1,0))</f>
        <v/>
      </c>
      <c r="O439">
        <f>IF($A439="","",IF($B439&lt;&gt;"",$B439,$O438))</f>
        <v/>
      </c>
    </row>
    <row r="440">
      <c r="N440">
        <f>IF($A440="","",IF(COUNTIFS($A$2:$A440,$A440,$C$2:$C440,$C440)=1,1,0))</f>
        <v/>
      </c>
      <c r="O440">
        <f>IF($A440="","",IF($B440&lt;&gt;"",$B440,$O439))</f>
        <v/>
      </c>
    </row>
    <row r="441">
      <c r="N441">
        <f>IF($A441="","",IF(COUNTIFS($A$2:$A441,$A441,$C$2:$C441,$C441)=1,1,0))</f>
        <v/>
      </c>
      <c r="O441">
        <f>IF($A441="","",IF($B441&lt;&gt;"",$B441,$O440))</f>
        <v/>
      </c>
    </row>
    <row r="442">
      <c r="N442">
        <f>IF($A442="","",IF(COUNTIFS($A$2:$A442,$A442,$C$2:$C442,$C442)=1,1,0))</f>
        <v/>
      </c>
      <c r="O442">
        <f>IF($A442="","",IF($B442&lt;&gt;"",$B442,$O441))</f>
        <v/>
      </c>
    </row>
    <row r="443">
      <c r="N443">
        <f>IF($A443="","",IF(COUNTIFS($A$2:$A443,$A443,$C$2:$C443,$C443)=1,1,0))</f>
        <v/>
      </c>
      <c r="O443">
        <f>IF($A443="","",IF($B443&lt;&gt;"",$B443,$O442))</f>
        <v/>
      </c>
    </row>
    <row r="444">
      <c r="N444">
        <f>IF($A444="","",IF(COUNTIFS($A$2:$A444,$A444,$C$2:$C444,$C444)=1,1,0))</f>
        <v/>
      </c>
      <c r="O444">
        <f>IF($A444="","",IF($B444&lt;&gt;"",$B444,$O443))</f>
        <v/>
      </c>
    </row>
    <row r="445">
      <c r="N445">
        <f>IF($A445="","",IF(COUNTIFS($A$2:$A445,$A445,$C$2:$C445,$C445)=1,1,0))</f>
        <v/>
      </c>
      <c r="O445">
        <f>IF($A445="","",IF($B445&lt;&gt;"",$B445,$O444))</f>
        <v/>
      </c>
    </row>
    <row r="446">
      <c r="N446">
        <f>IF($A446="","",IF(COUNTIFS($A$2:$A446,$A446,$C$2:$C446,$C446)=1,1,0))</f>
        <v/>
      </c>
      <c r="O446">
        <f>IF($A446="","",IF($B446&lt;&gt;"",$B446,$O445))</f>
        <v/>
      </c>
    </row>
    <row r="447">
      <c r="N447">
        <f>IF($A447="","",IF(COUNTIFS($A$2:$A447,$A447,$C$2:$C447,$C447)=1,1,0))</f>
        <v/>
      </c>
      <c r="O447">
        <f>IF($A447="","",IF($B447&lt;&gt;"",$B447,$O446))</f>
        <v/>
      </c>
    </row>
    <row r="448">
      <c r="N448">
        <f>IF($A448="","",IF(COUNTIFS($A$2:$A448,$A448,$C$2:$C448,$C448)=1,1,0))</f>
        <v/>
      </c>
      <c r="O448">
        <f>IF($A448="","",IF($B448&lt;&gt;"",$B448,$O447))</f>
        <v/>
      </c>
    </row>
    <row r="449">
      <c r="N449">
        <f>IF($A449="","",IF(COUNTIFS($A$2:$A449,$A449,$C$2:$C449,$C449)=1,1,0))</f>
        <v/>
      </c>
      <c r="O449">
        <f>IF($A449="","",IF($B449&lt;&gt;"",$B449,$O448))</f>
        <v/>
      </c>
    </row>
    <row r="450">
      <c r="N450">
        <f>IF($A450="","",IF(COUNTIFS($A$2:$A450,$A450,$C$2:$C450,$C450)=1,1,0))</f>
        <v/>
      </c>
      <c r="O450">
        <f>IF($A450="","",IF($B450&lt;&gt;"",$B450,$O449))</f>
        <v/>
      </c>
    </row>
    <row r="451">
      <c r="N451">
        <f>IF($A451="","",IF(COUNTIFS($A$2:$A451,$A451,$C$2:$C451,$C451)=1,1,0))</f>
        <v/>
      </c>
      <c r="O451">
        <f>IF($A451="","",IF($B451&lt;&gt;"",$B451,$O450))</f>
        <v/>
      </c>
    </row>
    <row r="452">
      <c r="N452">
        <f>IF($A452="","",IF(COUNTIFS($A$2:$A452,$A452,$C$2:$C452,$C452)=1,1,0))</f>
        <v/>
      </c>
      <c r="O452">
        <f>IF($A452="","",IF($B452&lt;&gt;"",$B452,$O451))</f>
        <v/>
      </c>
    </row>
    <row r="453">
      <c r="N453">
        <f>IF($A453="","",IF(COUNTIFS($A$2:$A453,$A453,$C$2:$C453,$C453)=1,1,0))</f>
        <v/>
      </c>
      <c r="O453">
        <f>IF($A453="","",IF($B453&lt;&gt;"",$B453,$O452))</f>
        <v/>
      </c>
    </row>
    <row r="454">
      <c r="N454">
        <f>IF($A454="","",IF(COUNTIFS($A$2:$A454,$A454,$C$2:$C454,$C454)=1,1,0))</f>
        <v/>
      </c>
      <c r="O454">
        <f>IF($A454="","",IF($B454&lt;&gt;"",$B454,$O453))</f>
        <v/>
      </c>
    </row>
    <row r="455">
      <c r="N455">
        <f>IF($A455="","",IF(COUNTIFS($A$2:$A455,$A455,$C$2:$C455,$C455)=1,1,0))</f>
        <v/>
      </c>
      <c r="O455">
        <f>IF($A455="","",IF($B455&lt;&gt;"",$B455,$O454))</f>
        <v/>
      </c>
    </row>
    <row r="456">
      <c r="N456">
        <f>IF($A456="","",IF(COUNTIFS($A$2:$A456,$A456,$C$2:$C456,$C456)=1,1,0))</f>
        <v/>
      </c>
      <c r="O456">
        <f>IF($A456="","",IF($B456&lt;&gt;"",$B456,$O455))</f>
        <v/>
      </c>
    </row>
    <row r="457">
      <c r="N457">
        <f>IF($A457="","",IF(COUNTIFS($A$2:$A457,$A457,$C$2:$C457,$C457)=1,1,0))</f>
        <v/>
      </c>
      <c r="O457">
        <f>IF($A457="","",IF($B457&lt;&gt;"",$B457,$O456))</f>
        <v/>
      </c>
    </row>
    <row r="458">
      <c r="N458">
        <f>IF($A458="","",IF(COUNTIFS($A$2:$A458,$A458,$C$2:$C458,$C458)=1,1,0))</f>
        <v/>
      </c>
      <c r="O458">
        <f>IF($A458="","",IF($B458&lt;&gt;"",$B458,$O457))</f>
        <v/>
      </c>
    </row>
    <row r="459">
      <c r="N459">
        <f>IF($A459="","",IF(COUNTIFS($A$2:$A459,$A459,$C$2:$C459,$C459)=1,1,0))</f>
        <v/>
      </c>
      <c r="O459">
        <f>IF($A459="","",IF($B459&lt;&gt;"",$B459,$O458))</f>
        <v/>
      </c>
    </row>
    <row r="460">
      <c r="N460">
        <f>IF($A460="","",IF(COUNTIFS($A$2:$A460,$A460,$C$2:$C460,$C460)=1,1,0))</f>
        <v/>
      </c>
      <c r="O460">
        <f>IF($A460="","",IF($B460&lt;&gt;"",$B460,$O459))</f>
        <v/>
      </c>
    </row>
    <row r="461">
      <c r="N461">
        <f>IF($A461="","",IF(COUNTIFS($A$2:$A461,$A461,$C$2:$C461,$C461)=1,1,0))</f>
        <v/>
      </c>
      <c r="O461">
        <f>IF($A461="","",IF($B461&lt;&gt;"",$B461,$O460))</f>
        <v/>
      </c>
    </row>
    <row r="462">
      <c r="N462">
        <f>IF($A462="","",IF(COUNTIFS($A$2:$A462,$A462,$C$2:$C462,$C462)=1,1,0))</f>
        <v/>
      </c>
      <c r="O462">
        <f>IF($A462="","",IF($B462&lt;&gt;"",$B462,$O461))</f>
        <v/>
      </c>
    </row>
    <row r="463">
      <c r="N463">
        <f>IF($A463="","",IF(COUNTIFS($A$2:$A463,$A463,$C$2:$C463,$C463)=1,1,0))</f>
        <v/>
      </c>
      <c r="O463">
        <f>IF($A463="","",IF($B463&lt;&gt;"",$B463,$O462))</f>
        <v/>
      </c>
    </row>
    <row r="464">
      <c r="N464">
        <f>IF($A464="","",IF(COUNTIFS($A$2:$A464,$A464,$C$2:$C464,$C464)=1,1,0))</f>
        <v/>
      </c>
      <c r="O464">
        <f>IF($A464="","",IF($B464&lt;&gt;"",$B464,$O463))</f>
        <v/>
      </c>
    </row>
    <row r="465">
      <c r="N465">
        <f>IF($A465="","",IF(COUNTIFS($A$2:$A465,$A465,$C$2:$C465,$C465)=1,1,0))</f>
        <v/>
      </c>
      <c r="O465">
        <f>IF($A465="","",IF($B465&lt;&gt;"",$B465,$O464))</f>
        <v/>
      </c>
    </row>
    <row r="466">
      <c r="N466">
        <f>IF($A466="","",IF(COUNTIFS($A$2:$A466,$A466,$C$2:$C466,$C466)=1,1,0))</f>
        <v/>
      </c>
      <c r="O466">
        <f>IF($A466="","",IF($B466&lt;&gt;"",$B466,$O465))</f>
        <v/>
      </c>
    </row>
    <row r="467">
      <c r="N467">
        <f>IF($A467="","",IF(COUNTIFS($A$2:$A467,$A467,$C$2:$C467,$C467)=1,1,0))</f>
        <v/>
      </c>
      <c r="O467">
        <f>IF($A467="","",IF($B467&lt;&gt;"",$B467,$O466))</f>
        <v/>
      </c>
    </row>
    <row r="468">
      <c r="N468">
        <f>IF($A468="","",IF(COUNTIFS($A$2:$A468,$A468,$C$2:$C468,$C468)=1,1,0))</f>
        <v/>
      </c>
      <c r="O468">
        <f>IF($A468="","",IF($B468&lt;&gt;"",$B468,$O467))</f>
        <v/>
      </c>
    </row>
    <row r="469">
      <c r="N469">
        <f>IF($A469="","",IF(COUNTIFS($A$2:$A469,$A469,$C$2:$C469,$C469)=1,1,0))</f>
        <v/>
      </c>
      <c r="O469">
        <f>IF($A469="","",IF($B469&lt;&gt;"",$B469,$O468))</f>
        <v/>
      </c>
    </row>
    <row r="470">
      <c r="N470">
        <f>IF($A470="","",IF(COUNTIFS($A$2:$A470,$A470,$C$2:$C470,$C470)=1,1,0))</f>
        <v/>
      </c>
      <c r="O470">
        <f>IF($A470="","",IF($B470&lt;&gt;"",$B470,$O469))</f>
        <v/>
      </c>
    </row>
    <row r="471">
      <c r="N471">
        <f>IF($A471="","",IF(COUNTIFS($A$2:$A471,$A471,$C$2:$C471,$C471)=1,1,0))</f>
        <v/>
      </c>
      <c r="O471">
        <f>IF($A471="","",IF($B471&lt;&gt;"",$B471,$O470))</f>
        <v/>
      </c>
    </row>
    <row r="472">
      <c r="N472">
        <f>IF($A472="","",IF(COUNTIFS($A$2:$A472,$A472,$C$2:$C472,$C472)=1,1,0))</f>
        <v/>
      </c>
      <c r="O472">
        <f>IF($A472="","",IF($B472&lt;&gt;"",$B472,$O471))</f>
        <v/>
      </c>
    </row>
    <row r="473">
      <c r="N473">
        <f>IF($A473="","",IF(COUNTIFS($A$2:$A473,$A473,$C$2:$C473,$C473)=1,1,0))</f>
        <v/>
      </c>
      <c r="O473">
        <f>IF($A473="","",IF($B473&lt;&gt;"",$B473,$O472))</f>
        <v/>
      </c>
    </row>
    <row r="474">
      <c r="N474">
        <f>IF($A474="","",IF(COUNTIFS($A$2:$A474,$A474,$C$2:$C474,$C474)=1,1,0))</f>
        <v/>
      </c>
      <c r="O474">
        <f>IF($A474="","",IF($B474&lt;&gt;"",$B474,$O473))</f>
        <v/>
      </c>
    </row>
    <row r="475">
      <c r="N475">
        <f>IF($A475="","",IF(COUNTIFS($A$2:$A475,$A475,$C$2:$C475,$C475)=1,1,0))</f>
        <v/>
      </c>
      <c r="O475">
        <f>IF($A475="","",IF($B475&lt;&gt;"",$B475,$O474))</f>
        <v/>
      </c>
    </row>
    <row r="476">
      <c r="N476">
        <f>IF($A476="","",IF(COUNTIFS($A$2:$A476,$A476,$C$2:$C476,$C476)=1,1,0))</f>
        <v/>
      </c>
      <c r="O476">
        <f>IF($A476="","",IF($B476&lt;&gt;"",$B476,$O475))</f>
        <v/>
      </c>
    </row>
    <row r="477">
      <c r="N477">
        <f>IF($A477="","",IF(COUNTIFS($A$2:$A477,$A477,$C$2:$C477,$C477)=1,1,0))</f>
        <v/>
      </c>
      <c r="O477">
        <f>IF($A477="","",IF($B477&lt;&gt;"",$B477,$O476))</f>
        <v/>
      </c>
    </row>
    <row r="478">
      <c r="N478">
        <f>IF($A478="","",IF(COUNTIFS($A$2:$A478,$A478,$C$2:$C478,$C478)=1,1,0))</f>
        <v/>
      </c>
      <c r="O478">
        <f>IF($A478="","",IF($B478&lt;&gt;"",$B478,$O477))</f>
        <v/>
      </c>
    </row>
    <row r="479">
      <c r="N479">
        <f>IF($A479="","",IF(COUNTIFS($A$2:$A479,$A479,$C$2:$C479,$C479)=1,1,0))</f>
        <v/>
      </c>
      <c r="O479">
        <f>IF($A479="","",IF($B479&lt;&gt;"",$B479,$O478))</f>
        <v/>
      </c>
    </row>
    <row r="480">
      <c r="N480">
        <f>IF($A480="","",IF(COUNTIFS($A$2:$A480,$A480,$C$2:$C480,$C480)=1,1,0))</f>
        <v/>
      </c>
      <c r="O480">
        <f>IF($A480="","",IF($B480&lt;&gt;"",$B480,$O479))</f>
        <v/>
      </c>
    </row>
    <row r="481">
      <c r="N481">
        <f>IF($A481="","",IF(COUNTIFS($A$2:$A481,$A481,$C$2:$C481,$C481)=1,1,0))</f>
        <v/>
      </c>
      <c r="O481">
        <f>IF($A481="","",IF($B481&lt;&gt;"",$B481,$O480))</f>
        <v/>
      </c>
    </row>
    <row r="482">
      <c r="N482">
        <f>IF($A482="","",IF(COUNTIFS($A$2:$A482,$A482,$C$2:$C482,$C482)=1,1,0))</f>
        <v/>
      </c>
      <c r="O482">
        <f>IF($A482="","",IF($B482&lt;&gt;"",$B482,$O481))</f>
        <v/>
      </c>
    </row>
    <row r="483">
      <c r="N483">
        <f>IF($A483="","",IF(COUNTIFS($A$2:$A483,$A483,$C$2:$C483,$C483)=1,1,0))</f>
        <v/>
      </c>
      <c r="O483">
        <f>IF($A483="","",IF($B483&lt;&gt;"",$B483,$O482))</f>
        <v/>
      </c>
    </row>
    <row r="484">
      <c r="N484">
        <f>IF($A484="","",IF(COUNTIFS($A$2:$A484,$A484,$C$2:$C484,$C484)=1,1,0))</f>
        <v/>
      </c>
      <c r="O484">
        <f>IF($A484="","",IF($B484&lt;&gt;"",$B484,$O483))</f>
        <v/>
      </c>
    </row>
    <row r="485">
      <c r="N485">
        <f>IF($A485="","",IF(COUNTIFS($A$2:$A485,$A485,$C$2:$C485,$C485)=1,1,0))</f>
        <v/>
      </c>
      <c r="O485">
        <f>IF($A485="","",IF($B485&lt;&gt;"",$B485,$O484))</f>
        <v/>
      </c>
    </row>
    <row r="486">
      <c r="N486">
        <f>IF($A486="","",IF(COUNTIFS($A$2:$A486,$A486,$C$2:$C486,$C486)=1,1,0))</f>
        <v/>
      </c>
      <c r="O486">
        <f>IF($A486="","",IF($B486&lt;&gt;"",$B486,$O485))</f>
        <v/>
      </c>
    </row>
    <row r="487">
      <c r="N487">
        <f>IF($A487="","",IF(COUNTIFS($A$2:$A487,$A487,$C$2:$C487,$C487)=1,1,0))</f>
        <v/>
      </c>
      <c r="O487">
        <f>IF($A487="","",IF($B487&lt;&gt;"",$B487,$O486))</f>
        <v/>
      </c>
    </row>
    <row r="488">
      <c r="N488">
        <f>IF($A488="","",IF(COUNTIFS($A$2:$A488,$A488,$C$2:$C488,$C488)=1,1,0))</f>
        <v/>
      </c>
      <c r="O488">
        <f>IF($A488="","",IF($B488&lt;&gt;"",$B488,$O487))</f>
        <v/>
      </c>
    </row>
    <row r="489">
      <c r="N489">
        <f>IF($A489="","",IF(COUNTIFS($A$2:$A489,$A489,$C$2:$C489,$C489)=1,1,0))</f>
        <v/>
      </c>
      <c r="O489">
        <f>IF($A489="","",IF($B489&lt;&gt;"",$B489,$O488))</f>
        <v/>
      </c>
    </row>
    <row r="490">
      <c r="N490">
        <f>IF($A490="","",IF(COUNTIFS($A$2:$A490,$A490,$C$2:$C490,$C490)=1,1,0))</f>
        <v/>
      </c>
      <c r="O490">
        <f>IF($A490="","",IF($B490&lt;&gt;"",$B490,$O489))</f>
        <v/>
      </c>
    </row>
    <row r="491">
      <c r="N491">
        <f>IF($A491="","",IF(COUNTIFS($A$2:$A491,$A491,$C$2:$C491,$C491)=1,1,0))</f>
        <v/>
      </c>
      <c r="O491">
        <f>IF($A491="","",IF($B491&lt;&gt;"",$B491,$O490))</f>
        <v/>
      </c>
    </row>
    <row r="492">
      <c r="N492">
        <f>IF($A492="","",IF(COUNTIFS($A$2:$A492,$A492,$C$2:$C492,$C492)=1,1,0))</f>
        <v/>
      </c>
      <c r="O492">
        <f>IF($A492="","",IF($B492&lt;&gt;"",$B492,$O491))</f>
        <v/>
      </c>
    </row>
    <row r="493">
      <c r="N493">
        <f>IF($A493="","",IF(COUNTIFS($A$2:$A493,$A493,$C$2:$C493,$C493)=1,1,0))</f>
        <v/>
      </c>
      <c r="O493">
        <f>IF($A493="","",IF($B493&lt;&gt;"",$B493,$O492))</f>
        <v/>
      </c>
    </row>
    <row r="494">
      <c r="N494">
        <f>IF($A494="","",IF(COUNTIFS($A$2:$A494,$A494,$C$2:$C494,$C494)=1,1,0))</f>
        <v/>
      </c>
      <c r="O494">
        <f>IF($A494="","",IF($B494&lt;&gt;"",$B494,$O493))</f>
        <v/>
      </c>
    </row>
    <row r="495">
      <c r="N495">
        <f>IF($A495="","",IF(COUNTIFS($A$2:$A495,$A495,$C$2:$C495,$C495)=1,1,0))</f>
        <v/>
      </c>
      <c r="O495">
        <f>IF($A495="","",IF($B495&lt;&gt;"",$B495,$O494))</f>
        <v/>
      </c>
    </row>
    <row r="496">
      <c r="N496">
        <f>IF($A496="","",IF(COUNTIFS($A$2:$A496,$A496,$C$2:$C496,$C496)=1,1,0))</f>
        <v/>
      </c>
      <c r="O496">
        <f>IF($A496="","",IF($B496&lt;&gt;"",$B496,$O495))</f>
        <v/>
      </c>
    </row>
    <row r="497">
      <c r="N497">
        <f>IF($A497="","",IF(COUNTIFS($A$2:$A497,$A497,$C$2:$C497,$C497)=1,1,0))</f>
        <v/>
      </c>
      <c r="O497">
        <f>IF($A497="","",IF($B497&lt;&gt;"",$B497,$O496))</f>
        <v/>
      </c>
    </row>
    <row r="498">
      <c r="N498">
        <f>IF($A498="","",IF(COUNTIFS($A$2:$A498,$A498,$C$2:$C498,$C498)=1,1,0))</f>
        <v/>
      </c>
      <c r="O498">
        <f>IF($A498="","",IF($B498&lt;&gt;"",$B498,$O497))</f>
        <v/>
      </c>
    </row>
    <row r="499">
      <c r="N499">
        <f>IF($A499="","",IF(COUNTIFS($A$2:$A499,$A499,$C$2:$C499,$C499)=1,1,0))</f>
        <v/>
      </c>
      <c r="O499">
        <f>IF($A499="","",IF($B499&lt;&gt;"",$B499,$O498))</f>
        <v/>
      </c>
    </row>
    <row r="500">
      <c r="N500">
        <f>IF($A500="","",IF(COUNTIFS($A$2:$A500,$A500,$C$2:$C500,$C500)=1,1,0))</f>
        <v/>
      </c>
      <c r="O500">
        <f>IF($A500="","",IF($B500&lt;&gt;"",$B500,$O499))</f>
        <v/>
      </c>
    </row>
    <row r="501">
      <c r="N501">
        <f>IF($A501="","",IF(COUNTIFS($A$2:$A501,$A501,$C$2:$C501,$C501)=1,1,0))</f>
        <v/>
      </c>
      <c r="O501">
        <f>IF($A501="","",IF($B501&lt;&gt;"",$B501,$O500))</f>
        <v/>
      </c>
    </row>
    <row r="502">
      <c r="N502">
        <f>IF($A502="","",IF(COUNTIFS($A$2:$A502,$A502,$C$2:$C502,$C502)=1,1,0))</f>
        <v/>
      </c>
      <c r="O502">
        <f>IF($A502="","",IF($B502&lt;&gt;"",$B502,$O501))</f>
        <v/>
      </c>
    </row>
    <row r="503">
      <c r="N503">
        <f>IF($A503="","",IF(COUNTIFS($A$2:$A503,$A503,$C$2:$C503,$C503)=1,1,0))</f>
        <v/>
      </c>
      <c r="O503">
        <f>IF($A503="","",IF($B503&lt;&gt;"",$B503,$O502))</f>
        <v/>
      </c>
    </row>
    <row r="504">
      <c r="N504">
        <f>IF($A504="","",IF(COUNTIFS($A$2:$A504,$A504,$C$2:$C504,$C504)=1,1,0))</f>
        <v/>
      </c>
      <c r="O504">
        <f>IF($A504="","",IF($B504&lt;&gt;"",$B504,$O503))</f>
        <v/>
      </c>
    </row>
    <row r="505">
      <c r="N505">
        <f>IF($A505="","",IF(COUNTIFS($A$2:$A505,$A505,$C$2:$C505,$C505)=1,1,0))</f>
        <v/>
      </c>
      <c r="O505">
        <f>IF($A505="","",IF($B505&lt;&gt;"",$B505,$O504))</f>
        <v/>
      </c>
    </row>
    <row r="506">
      <c r="N506">
        <f>IF($A506="","",IF(COUNTIFS($A$2:$A506,$A506,$C$2:$C506,$C506)=1,1,0))</f>
        <v/>
      </c>
      <c r="O506">
        <f>IF($A506="","",IF($B506&lt;&gt;"",$B506,$O505))</f>
        <v/>
      </c>
    </row>
    <row r="507">
      <c r="N507">
        <f>IF($A507="","",IF(COUNTIFS($A$2:$A507,$A507,$C$2:$C507,$C507)=1,1,0))</f>
        <v/>
      </c>
      <c r="O507">
        <f>IF($A507="","",IF($B507&lt;&gt;"",$B507,$O506))</f>
        <v/>
      </c>
    </row>
    <row r="508">
      <c r="N508">
        <f>IF($A508="","",IF(COUNTIFS($A$2:$A508,$A508,$C$2:$C508,$C508)=1,1,0))</f>
        <v/>
      </c>
      <c r="O508">
        <f>IF($A508="","",IF($B508&lt;&gt;"",$B508,$O507))</f>
        <v/>
      </c>
    </row>
    <row r="509">
      <c r="N509">
        <f>IF($A509="","",IF(COUNTIFS($A$2:$A509,$A509,$C$2:$C509,$C509)=1,1,0))</f>
        <v/>
      </c>
      <c r="O509">
        <f>IF($A509="","",IF($B509&lt;&gt;"",$B509,$O508))</f>
        <v/>
      </c>
    </row>
    <row r="510">
      <c r="N510">
        <f>IF($A510="","",IF(COUNTIFS($A$2:$A510,$A510,$C$2:$C510,$C510)=1,1,0))</f>
        <v/>
      </c>
      <c r="O510">
        <f>IF($A510="","",IF($B510&lt;&gt;"",$B510,$O509))</f>
        <v/>
      </c>
    </row>
    <row r="511">
      <c r="N511">
        <f>IF($A511="","",IF(COUNTIFS($A$2:$A511,$A511,$C$2:$C511,$C511)=1,1,0))</f>
        <v/>
      </c>
      <c r="O511">
        <f>IF($A511="","",IF($B511&lt;&gt;"",$B511,$O510))</f>
        <v/>
      </c>
    </row>
    <row r="512">
      <c r="N512">
        <f>IF($A512="","",IF(COUNTIFS($A$2:$A512,$A512,$C$2:$C512,$C512)=1,1,0))</f>
        <v/>
      </c>
      <c r="O512">
        <f>IF($A512="","",IF($B512&lt;&gt;"",$B512,$O511))</f>
        <v/>
      </c>
    </row>
    <row r="513">
      <c r="N513">
        <f>IF($A513="","",IF(COUNTIFS($A$2:$A513,$A513,$C$2:$C513,$C513)=1,1,0))</f>
        <v/>
      </c>
      <c r="O513">
        <f>IF($A513="","",IF($B513&lt;&gt;"",$B513,$O512))</f>
        <v/>
      </c>
    </row>
    <row r="514">
      <c r="N514">
        <f>IF($A514="","",IF(COUNTIFS($A$2:$A514,$A514,$C$2:$C514,$C514)=1,1,0))</f>
        <v/>
      </c>
      <c r="O514">
        <f>IF($A514="","",IF($B514&lt;&gt;"",$B514,$O513))</f>
        <v/>
      </c>
    </row>
    <row r="515">
      <c r="N515">
        <f>IF($A515="","",IF(COUNTIFS($A$2:$A515,$A515,$C$2:$C515,$C515)=1,1,0))</f>
        <v/>
      </c>
      <c r="O515">
        <f>IF($A515="","",IF($B515&lt;&gt;"",$B515,$O514))</f>
        <v/>
      </c>
    </row>
    <row r="516">
      <c r="N516">
        <f>IF($A516="","",IF(COUNTIFS($A$2:$A516,$A516,$C$2:$C516,$C516)=1,1,0))</f>
        <v/>
      </c>
      <c r="O516">
        <f>IF($A516="","",IF($B516&lt;&gt;"",$B516,$O515))</f>
        <v/>
      </c>
    </row>
    <row r="517">
      <c r="N517">
        <f>IF($A517="","",IF(COUNTIFS($A$2:$A517,$A517,$C$2:$C517,$C517)=1,1,0))</f>
        <v/>
      </c>
      <c r="O517">
        <f>IF($A517="","",IF($B517&lt;&gt;"",$B517,$O516))</f>
        <v/>
      </c>
    </row>
    <row r="518">
      <c r="N518">
        <f>IF($A518="","",IF(COUNTIFS($A$2:$A518,$A518,$C$2:$C518,$C518)=1,1,0))</f>
        <v/>
      </c>
      <c r="O518">
        <f>IF($A518="","",IF($B518&lt;&gt;"",$B518,$O517))</f>
        <v/>
      </c>
    </row>
    <row r="519">
      <c r="N519">
        <f>IF($A519="","",IF(COUNTIFS($A$2:$A519,$A519,$C$2:$C519,$C519)=1,1,0))</f>
        <v/>
      </c>
      <c r="O519">
        <f>IF($A519="","",IF($B519&lt;&gt;"",$B519,$O518))</f>
        <v/>
      </c>
    </row>
    <row r="520">
      <c r="N520">
        <f>IF($A520="","",IF(COUNTIFS($A$2:$A520,$A520,$C$2:$C520,$C520)=1,1,0))</f>
        <v/>
      </c>
      <c r="O520">
        <f>IF($A520="","",IF($B520&lt;&gt;"",$B520,$O519))</f>
        <v/>
      </c>
    </row>
    <row r="521">
      <c r="N521">
        <f>IF($A521="","",IF(COUNTIFS($A$2:$A521,$A521,$C$2:$C521,$C521)=1,1,0))</f>
        <v/>
      </c>
      <c r="O521">
        <f>IF($A521="","",IF($B521&lt;&gt;"",$B521,$O520))</f>
        <v/>
      </c>
    </row>
    <row r="522">
      <c r="N522">
        <f>IF($A522="","",IF(COUNTIFS($A$2:$A522,$A522,$C$2:$C522,$C522)=1,1,0))</f>
        <v/>
      </c>
      <c r="O522">
        <f>IF($A522="","",IF($B522&lt;&gt;"",$B522,$O521))</f>
        <v/>
      </c>
    </row>
    <row r="523">
      <c r="N523">
        <f>IF($A523="","",IF(COUNTIFS($A$2:$A523,$A523,$C$2:$C523,$C523)=1,1,0))</f>
        <v/>
      </c>
      <c r="O523">
        <f>IF($A523="","",IF($B523&lt;&gt;"",$B523,$O522))</f>
        <v/>
      </c>
    </row>
    <row r="524">
      <c r="N524">
        <f>IF($A524="","",IF(COUNTIFS($A$2:$A524,$A524,$C$2:$C524,$C524)=1,1,0))</f>
        <v/>
      </c>
      <c r="O524">
        <f>IF($A524="","",IF($B524&lt;&gt;"",$B524,$O523))</f>
        <v/>
      </c>
    </row>
    <row r="525">
      <c r="N525">
        <f>IF($A525="","",IF(COUNTIFS($A$2:$A525,$A525,$C$2:$C525,$C525)=1,1,0))</f>
        <v/>
      </c>
      <c r="O525">
        <f>IF($A525="","",IF($B525&lt;&gt;"",$B525,$O524))</f>
        <v/>
      </c>
    </row>
    <row r="526">
      <c r="N526">
        <f>IF($A526="","",IF(COUNTIFS($A$2:$A526,$A526,$C$2:$C526,$C526)=1,1,0))</f>
        <v/>
      </c>
      <c r="O526">
        <f>IF($A526="","",IF($B526&lt;&gt;"",$B526,$O525))</f>
        <v/>
      </c>
    </row>
    <row r="527">
      <c r="N527">
        <f>IF($A527="","",IF(COUNTIFS($A$2:$A527,$A527,$C$2:$C527,$C527)=1,1,0))</f>
        <v/>
      </c>
      <c r="O527">
        <f>IF($A527="","",IF($B527&lt;&gt;"",$B527,$O526))</f>
        <v/>
      </c>
    </row>
    <row r="528">
      <c r="N528">
        <f>IF($A528="","",IF(COUNTIFS($A$2:$A528,$A528,$C$2:$C528,$C528)=1,1,0))</f>
        <v/>
      </c>
      <c r="O528">
        <f>IF($A528="","",IF($B528&lt;&gt;"",$B528,$O527))</f>
        <v/>
      </c>
    </row>
    <row r="529">
      <c r="N529">
        <f>IF($A529="","",IF(COUNTIFS($A$2:$A529,$A529,$C$2:$C529,$C529)=1,1,0))</f>
        <v/>
      </c>
      <c r="O529">
        <f>IF($A529="","",IF($B529&lt;&gt;"",$B529,$O528))</f>
        <v/>
      </c>
    </row>
    <row r="530">
      <c r="N530">
        <f>IF($A530="","",IF(COUNTIFS($A$2:$A530,$A530,$C$2:$C530,$C530)=1,1,0))</f>
        <v/>
      </c>
      <c r="O530">
        <f>IF($A530="","",IF($B530&lt;&gt;"",$B530,$O529))</f>
        <v/>
      </c>
    </row>
    <row r="531">
      <c r="N531">
        <f>IF($A531="","",IF(COUNTIFS($A$2:$A531,$A531,$C$2:$C531,$C531)=1,1,0))</f>
        <v/>
      </c>
      <c r="O531">
        <f>IF($A531="","",IF($B531&lt;&gt;"",$B531,$O530))</f>
        <v/>
      </c>
    </row>
    <row r="532">
      <c r="N532">
        <f>IF($A532="","",IF(COUNTIFS($A$2:$A532,$A532,$C$2:$C532,$C532)=1,1,0))</f>
        <v/>
      </c>
      <c r="O532">
        <f>IF($A532="","",IF($B532&lt;&gt;"",$B532,$O531))</f>
        <v/>
      </c>
    </row>
    <row r="533">
      <c r="N533">
        <f>IF($A533="","",IF(COUNTIFS($A$2:$A533,$A533,$C$2:$C533,$C533)=1,1,0))</f>
        <v/>
      </c>
      <c r="O533">
        <f>IF($A533="","",IF($B533&lt;&gt;"",$B533,$O532))</f>
        <v/>
      </c>
    </row>
    <row r="534">
      <c r="N534">
        <f>IF($A534="","",IF(COUNTIFS($A$2:$A534,$A534,$C$2:$C534,$C534)=1,1,0))</f>
        <v/>
      </c>
      <c r="O534">
        <f>IF($A534="","",IF($B534&lt;&gt;"",$B534,$O533))</f>
        <v/>
      </c>
    </row>
    <row r="535">
      <c r="N535">
        <f>IF($A535="","",IF(COUNTIFS($A$2:$A535,$A535,$C$2:$C535,$C535)=1,1,0))</f>
        <v/>
      </c>
      <c r="O535">
        <f>IF($A535="","",IF($B535&lt;&gt;"",$B535,$O534))</f>
        <v/>
      </c>
    </row>
    <row r="536">
      <c r="N536">
        <f>IF($A536="","",IF(COUNTIFS($A$2:$A536,$A536,$C$2:$C536,$C536)=1,1,0))</f>
        <v/>
      </c>
      <c r="O536">
        <f>IF($A536="","",IF($B536&lt;&gt;"",$B536,$O535))</f>
        <v/>
      </c>
    </row>
    <row r="537">
      <c r="N537">
        <f>IF($A537="","",IF(COUNTIFS($A$2:$A537,$A537,$C$2:$C537,$C537)=1,1,0))</f>
        <v/>
      </c>
      <c r="O537">
        <f>IF($A537="","",IF($B537&lt;&gt;"",$B537,$O536))</f>
        <v/>
      </c>
    </row>
    <row r="538">
      <c r="N538">
        <f>IF($A538="","",IF(COUNTIFS($A$2:$A538,$A538,$C$2:$C538,$C538)=1,1,0))</f>
        <v/>
      </c>
      <c r="O538">
        <f>IF($A538="","",IF($B538&lt;&gt;"",$B538,$O537))</f>
        <v/>
      </c>
    </row>
    <row r="539">
      <c r="N539">
        <f>IF($A539="","",IF(COUNTIFS($A$2:$A539,$A539,$C$2:$C539,$C539)=1,1,0))</f>
        <v/>
      </c>
      <c r="O539">
        <f>IF($A539="","",IF($B539&lt;&gt;"",$B539,$O538))</f>
        <v/>
      </c>
    </row>
    <row r="540">
      <c r="N540">
        <f>IF($A540="","",IF(COUNTIFS($A$2:$A540,$A540,$C$2:$C540,$C540)=1,1,0))</f>
        <v/>
      </c>
      <c r="O540">
        <f>IF($A540="","",IF($B540&lt;&gt;"",$B540,$O539))</f>
        <v/>
      </c>
    </row>
    <row r="541">
      <c r="N541">
        <f>IF($A541="","",IF(COUNTIFS($A$2:$A541,$A541,$C$2:$C541,$C541)=1,1,0))</f>
        <v/>
      </c>
      <c r="O541">
        <f>IF($A541="","",IF($B541&lt;&gt;"",$B541,$O540))</f>
        <v/>
      </c>
    </row>
    <row r="542">
      <c r="N542">
        <f>IF($A542="","",IF(COUNTIFS($A$2:$A542,$A542,$C$2:$C542,$C542)=1,1,0))</f>
        <v/>
      </c>
      <c r="O542">
        <f>IF($A542="","",IF($B542&lt;&gt;"",$B542,$O541))</f>
        <v/>
      </c>
    </row>
    <row r="543">
      <c r="N543">
        <f>IF($A543="","",IF(COUNTIFS($A$2:$A543,$A543,$C$2:$C543,$C543)=1,1,0))</f>
        <v/>
      </c>
      <c r="O543">
        <f>IF($A543="","",IF($B543&lt;&gt;"",$B543,$O542))</f>
        <v/>
      </c>
    </row>
    <row r="544">
      <c r="N544">
        <f>IF($A544="","",IF(COUNTIFS($A$2:$A544,$A544,$C$2:$C544,$C544)=1,1,0))</f>
        <v/>
      </c>
      <c r="O544">
        <f>IF($A544="","",IF($B544&lt;&gt;"",$B544,$O543))</f>
        <v/>
      </c>
    </row>
    <row r="545">
      <c r="N545">
        <f>IF($A545="","",IF(COUNTIFS($A$2:$A545,$A545,$C$2:$C545,$C545)=1,1,0))</f>
        <v/>
      </c>
      <c r="O545">
        <f>IF($A545="","",IF($B545&lt;&gt;"",$B545,$O544))</f>
        <v/>
      </c>
    </row>
    <row r="546">
      <c r="N546">
        <f>IF($A546="","",IF(COUNTIFS($A$2:$A546,$A546,$C$2:$C546,$C546)=1,1,0))</f>
        <v/>
      </c>
      <c r="O546">
        <f>IF($A546="","",IF($B546&lt;&gt;"",$B546,$O545))</f>
        <v/>
      </c>
    </row>
    <row r="547">
      <c r="N547">
        <f>IF($A547="","",IF(COUNTIFS($A$2:$A547,$A547,$C$2:$C547,$C547)=1,1,0))</f>
        <v/>
      </c>
      <c r="O547">
        <f>IF($A547="","",IF($B547&lt;&gt;"",$B547,$O546))</f>
        <v/>
      </c>
    </row>
    <row r="548">
      <c r="N548">
        <f>IF($A548="","",IF(COUNTIFS($A$2:$A548,$A548,$C$2:$C548,$C548)=1,1,0))</f>
        <v/>
      </c>
      <c r="O548">
        <f>IF($A548="","",IF($B548&lt;&gt;"",$B548,$O547))</f>
        <v/>
      </c>
    </row>
    <row r="549">
      <c r="N549">
        <f>IF($A549="","",IF(COUNTIFS($A$2:$A549,$A549,$C$2:$C549,$C549)=1,1,0))</f>
        <v/>
      </c>
      <c r="O549">
        <f>IF($A549="","",IF($B549&lt;&gt;"",$B549,$O548))</f>
        <v/>
      </c>
    </row>
    <row r="550">
      <c r="N550">
        <f>IF($A550="","",IF(COUNTIFS($A$2:$A550,$A550,$C$2:$C550,$C550)=1,1,0))</f>
        <v/>
      </c>
      <c r="O550">
        <f>IF($A550="","",IF($B550&lt;&gt;"",$B550,$O549))</f>
        <v/>
      </c>
    </row>
    <row r="551">
      <c r="N551">
        <f>IF($A551="","",IF(COUNTIFS($A$2:$A551,$A551,$C$2:$C551,$C551)=1,1,0))</f>
        <v/>
      </c>
      <c r="O551">
        <f>IF($A551="","",IF($B551&lt;&gt;"",$B551,$O550))</f>
        <v/>
      </c>
    </row>
    <row r="552">
      <c r="N552">
        <f>IF($A552="","",IF(COUNTIFS($A$2:$A552,$A552,$C$2:$C552,$C552)=1,1,0))</f>
        <v/>
      </c>
      <c r="O552">
        <f>IF($A552="","",IF($B552&lt;&gt;"",$B552,$O551))</f>
        <v/>
      </c>
    </row>
    <row r="553">
      <c r="N553">
        <f>IF($A553="","",IF(COUNTIFS($A$2:$A553,$A553,$C$2:$C553,$C553)=1,1,0))</f>
        <v/>
      </c>
      <c r="O553">
        <f>IF($A553="","",IF($B553&lt;&gt;"",$B553,$O552))</f>
        <v/>
      </c>
    </row>
    <row r="554">
      <c r="N554">
        <f>IF($A554="","",IF(COUNTIFS($A$2:$A554,$A554,$C$2:$C554,$C554)=1,1,0))</f>
        <v/>
      </c>
      <c r="O554">
        <f>IF($A554="","",IF($B554&lt;&gt;"",$B554,$O553))</f>
        <v/>
      </c>
    </row>
    <row r="555">
      <c r="N555">
        <f>IF($A555="","",IF(COUNTIFS($A$2:$A555,$A555,$C$2:$C555,$C555)=1,1,0))</f>
        <v/>
      </c>
      <c r="O555">
        <f>IF($A555="","",IF($B555&lt;&gt;"",$B555,$O554))</f>
        <v/>
      </c>
    </row>
    <row r="556">
      <c r="N556">
        <f>IF($A556="","",IF(COUNTIFS($A$2:$A556,$A556,$C$2:$C556,$C556)=1,1,0))</f>
        <v/>
      </c>
      <c r="O556">
        <f>IF($A556="","",IF($B556&lt;&gt;"",$B556,$O555))</f>
        <v/>
      </c>
    </row>
    <row r="557">
      <c r="N557">
        <f>IF($A557="","",IF(COUNTIFS($A$2:$A557,$A557,$C$2:$C557,$C557)=1,1,0))</f>
        <v/>
      </c>
      <c r="O557">
        <f>IF($A557="","",IF($B557&lt;&gt;"",$B557,$O556))</f>
        <v/>
      </c>
    </row>
    <row r="558">
      <c r="N558">
        <f>IF($A558="","",IF(COUNTIFS($A$2:$A558,$A558,$C$2:$C558,$C558)=1,1,0))</f>
        <v/>
      </c>
      <c r="O558">
        <f>IF($A558="","",IF($B558&lt;&gt;"",$B558,$O557))</f>
        <v/>
      </c>
    </row>
    <row r="559">
      <c r="N559">
        <f>IF($A559="","",IF(COUNTIFS($A$2:$A559,$A559,$C$2:$C559,$C559)=1,1,0))</f>
        <v/>
      </c>
      <c r="O559">
        <f>IF($A559="","",IF($B559&lt;&gt;"",$B559,$O558))</f>
        <v/>
      </c>
    </row>
    <row r="560">
      <c r="N560">
        <f>IF($A560="","",IF(COUNTIFS($A$2:$A560,$A560,$C$2:$C560,$C560)=1,1,0))</f>
        <v/>
      </c>
      <c r="O560">
        <f>IF($A560="","",IF($B560&lt;&gt;"",$B560,$O559))</f>
        <v/>
      </c>
    </row>
    <row r="561">
      <c r="N561">
        <f>IF($A561="","",IF(COUNTIFS($A$2:$A561,$A561,$C$2:$C561,$C561)=1,1,0))</f>
        <v/>
      </c>
      <c r="O561">
        <f>IF($A561="","",IF($B561&lt;&gt;"",$B561,$O560))</f>
        <v/>
      </c>
    </row>
    <row r="562">
      <c r="N562">
        <f>IF($A562="","",IF(COUNTIFS($A$2:$A562,$A562,$C$2:$C562,$C562)=1,1,0))</f>
        <v/>
      </c>
      <c r="O562">
        <f>IF($A562="","",IF($B562&lt;&gt;"",$B562,$O561))</f>
        <v/>
      </c>
    </row>
    <row r="563">
      <c r="N563">
        <f>IF($A563="","",IF(COUNTIFS($A$2:$A563,$A563,$C$2:$C563,$C563)=1,1,0))</f>
        <v/>
      </c>
      <c r="O563">
        <f>IF($A563="","",IF($B563&lt;&gt;"",$B563,$O562))</f>
        <v/>
      </c>
    </row>
    <row r="564">
      <c r="N564">
        <f>IF($A564="","",IF(COUNTIFS($A$2:$A564,$A564,$C$2:$C564,$C564)=1,1,0))</f>
        <v/>
      </c>
      <c r="O564">
        <f>IF($A564="","",IF($B564&lt;&gt;"",$B564,$O563))</f>
        <v/>
      </c>
    </row>
    <row r="565">
      <c r="N565">
        <f>IF($A565="","",IF(COUNTIFS($A$2:$A565,$A565,$C$2:$C565,$C565)=1,1,0))</f>
        <v/>
      </c>
      <c r="O565">
        <f>IF($A565="","",IF($B565&lt;&gt;"",$B565,$O564))</f>
        <v/>
      </c>
    </row>
    <row r="566">
      <c r="N566">
        <f>IF($A566="","",IF(COUNTIFS($A$2:$A566,$A566,$C$2:$C566,$C566)=1,1,0))</f>
        <v/>
      </c>
      <c r="O566">
        <f>IF($A566="","",IF($B566&lt;&gt;"",$B566,$O565))</f>
        <v/>
      </c>
    </row>
    <row r="567">
      <c r="N567">
        <f>IF($A567="","",IF(COUNTIFS($A$2:$A567,$A567,$C$2:$C567,$C567)=1,1,0))</f>
        <v/>
      </c>
      <c r="O567">
        <f>IF($A567="","",IF($B567&lt;&gt;"",$B567,$O566))</f>
        <v/>
      </c>
    </row>
    <row r="568">
      <c r="N568">
        <f>IF($A568="","",IF(COUNTIFS($A$2:$A568,$A568,$C$2:$C568,$C568)=1,1,0))</f>
        <v/>
      </c>
      <c r="O568">
        <f>IF($A568="","",IF($B568&lt;&gt;"",$B568,$O567))</f>
        <v/>
      </c>
    </row>
    <row r="569">
      <c r="N569">
        <f>IF($A569="","",IF(COUNTIFS($A$2:$A569,$A569,$C$2:$C569,$C569)=1,1,0))</f>
        <v/>
      </c>
      <c r="O569">
        <f>IF($A569="","",IF($B569&lt;&gt;"",$B569,$O568))</f>
        <v/>
      </c>
    </row>
    <row r="570">
      <c r="N570">
        <f>IF($A570="","",IF(COUNTIFS($A$2:$A570,$A570,$C$2:$C570,$C570)=1,1,0))</f>
        <v/>
      </c>
      <c r="O570">
        <f>IF($A570="","",IF($B570&lt;&gt;"",$B570,$O569))</f>
        <v/>
      </c>
    </row>
    <row r="571">
      <c r="N571">
        <f>IF($A571="","",IF(COUNTIFS($A$2:$A571,$A571,$C$2:$C571,$C571)=1,1,0))</f>
        <v/>
      </c>
      <c r="O571">
        <f>IF($A571="","",IF($B571&lt;&gt;"",$B571,$O570))</f>
        <v/>
      </c>
    </row>
    <row r="572">
      <c r="N572">
        <f>IF($A572="","",IF(COUNTIFS($A$2:$A572,$A572,$C$2:$C572,$C572)=1,1,0))</f>
        <v/>
      </c>
      <c r="O572">
        <f>IF($A572="","",IF($B572&lt;&gt;"",$B572,$O571))</f>
        <v/>
      </c>
    </row>
    <row r="573">
      <c r="N573">
        <f>IF($A573="","",IF(COUNTIFS($A$2:$A573,$A573,$C$2:$C573,$C573)=1,1,0))</f>
        <v/>
      </c>
      <c r="O573">
        <f>IF($A573="","",IF($B573&lt;&gt;"",$B573,$O572))</f>
        <v/>
      </c>
    </row>
    <row r="574">
      <c r="N574">
        <f>IF($A574="","",IF(COUNTIFS($A$2:$A574,$A574,$C$2:$C574,$C574)=1,1,0))</f>
        <v/>
      </c>
      <c r="O574">
        <f>IF($A574="","",IF($B574&lt;&gt;"",$B574,$O573))</f>
        <v/>
      </c>
    </row>
    <row r="575">
      <c r="N575">
        <f>IF($A575="","",IF(COUNTIFS($A$2:$A575,$A575,$C$2:$C575,$C575)=1,1,0))</f>
        <v/>
      </c>
      <c r="O575">
        <f>IF($A575="","",IF($B575&lt;&gt;"",$B575,$O574))</f>
        <v/>
      </c>
    </row>
    <row r="576">
      <c r="N576">
        <f>IF($A576="","",IF(COUNTIFS($A$2:$A576,$A576,$C$2:$C576,$C576)=1,1,0))</f>
        <v/>
      </c>
      <c r="O576">
        <f>IF($A576="","",IF($B576&lt;&gt;"",$B576,$O575))</f>
        <v/>
      </c>
    </row>
    <row r="577">
      <c r="N577">
        <f>IF($A577="","",IF(COUNTIFS($A$2:$A577,$A577,$C$2:$C577,$C577)=1,1,0))</f>
        <v/>
      </c>
      <c r="O577">
        <f>IF($A577="","",IF($B577&lt;&gt;"",$B577,$O576))</f>
        <v/>
      </c>
    </row>
    <row r="578">
      <c r="N578">
        <f>IF($A578="","",IF(COUNTIFS($A$2:$A578,$A578,$C$2:$C578,$C578)=1,1,0))</f>
        <v/>
      </c>
      <c r="O578">
        <f>IF($A578="","",IF($B578&lt;&gt;"",$B578,$O577))</f>
        <v/>
      </c>
    </row>
    <row r="579">
      <c r="N579">
        <f>IF($A579="","",IF(COUNTIFS($A$2:$A579,$A579,$C$2:$C579,$C579)=1,1,0))</f>
        <v/>
      </c>
      <c r="O579">
        <f>IF($A579="","",IF($B579&lt;&gt;"",$B579,$O578))</f>
        <v/>
      </c>
    </row>
    <row r="580">
      <c r="N580">
        <f>IF($A580="","",IF(COUNTIFS($A$2:$A580,$A580,$C$2:$C580,$C580)=1,1,0))</f>
        <v/>
      </c>
      <c r="O580">
        <f>IF($A580="","",IF($B580&lt;&gt;"",$B580,$O579))</f>
        <v/>
      </c>
    </row>
    <row r="581">
      <c r="N581">
        <f>IF($A581="","",IF(COUNTIFS($A$2:$A581,$A581,$C$2:$C581,$C581)=1,1,0))</f>
        <v/>
      </c>
      <c r="O581">
        <f>IF($A581="","",IF($B581&lt;&gt;"",$B581,$O580))</f>
        <v/>
      </c>
    </row>
    <row r="582">
      <c r="N582">
        <f>IF($A582="","",IF(COUNTIFS($A$2:$A582,$A582,$C$2:$C582,$C582)=1,1,0))</f>
        <v/>
      </c>
      <c r="O582">
        <f>IF($A582="","",IF($B582&lt;&gt;"",$B582,$O581))</f>
        <v/>
      </c>
    </row>
    <row r="583">
      <c r="N583">
        <f>IF($A583="","",IF(COUNTIFS($A$2:$A583,$A583,$C$2:$C583,$C583)=1,1,0))</f>
        <v/>
      </c>
      <c r="O583">
        <f>IF($A583="","",IF($B583&lt;&gt;"",$B583,$O582))</f>
        <v/>
      </c>
    </row>
    <row r="584">
      <c r="N584">
        <f>IF($A584="","",IF(COUNTIFS($A$2:$A584,$A584,$C$2:$C584,$C584)=1,1,0))</f>
        <v/>
      </c>
      <c r="O584">
        <f>IF($A584="","",IF($B584&lt;&gt;"",$B584,$O583))</f>
        <v/>
      </c>
    </row>
    <row r="585">
      <c r="N585">
        <f>IF($A585="","",IF(COUNTIFS($A$2:$A585,$A585,$C$2:$C585,$C585)=1,1,0))</f>
        <v/>
      </c>
      <c r="O585">
        <f>IF($A585="","",IF($B585&lt;&gt;"",$B585,$O584))</f>
        <v/>
      </c>
    </row>
    <row r="586">
      <c r="N586">
        <f>IF($A586="","",IF(COUNTIFS($A$2:$A586,$A586,$C$2:$C586,$C586)=1,1,0))</f>
        <v/>
      </c>
      <c r="O586">
        <f>IF($A586="","",IF($B586&lt;&gt;"",$B586,$O585))</f>
        <v/>
      </c>
    </row>
    <row r="587">
      <c r="N587">
        <f>IF($A587="","",IF(COUNTIFS($A$2:$A587,$A587,$C$2:$C587,$C587)=1,1,0))</f>
        <v/>
      </c>
      <c r="O587">
        <f>IF($A587="","",IF($B587&lt;&gt;"",$B587,$O586))</f>
        <v/>
      </c>
    </row>
    <row r="588">
      <c r="N588">
        <f>IF($A588="","",IF(COUNTIFS($A$2:$A588,$A588,$C$2:$C588,$C588)=1,1,0))</f>
        <v/>
      </c>
      <c r="O588">
        <f>IF($A588="","",IF($B588&lt;&gt;"",$B588,$O587))</f>
        <v/>
      </c>
    </row>
    <row r="589">
      <c r="N589">
        <f>IF($A589="","",IF(COUNTIFS($A$2:$A589,$A589,$C$2:$C589,$C589)=1,1,0))</f>
        <v/>
      </c>
      <c r="O589">
        <f>IF($A589="","",IF($B589&lt;&gt;"",$B589,$O588))</f>
        <v/>
      </c>
    </row>
    <row r="590">
      <c r="N590">
        <f>IF($A590="","",IF(COUNTIFS($A$2:$A590,$A590,$C$2:$C590,$C590)=1,1,0))</f>
        <v/>
      </c>
      <c r="O590">
        <f>IF($A590="","",IF($B590&lt;&gt;"",$B590,$O589))</f>
        <v/>
      </c>
    </row>
    <row r="591">
      <c r="N591">
        <f>IF($A591="","",IF(COUNTIFS($A$2:$A591,$A591,$C$2:$C591,$C591)=1,1,0))</f>
        <v/>
      </c>
      <c r="O591">
        <f>IF($A591="","",IF($B591&lt;&gt;"",$B591,$O590))</f>
        <v/>
      </c>
    </row>
    <row r="592">
      <c r="N592">
        <f>IF($A592="","",IF(COUNTIFS($A$2:$A592,$A592,$C$2:$C592,$C592)=1,1,0))</f>
        <v/>
      </c>
      <c r="O592">
        <f>IF($A592="","",IF($B592&lt;&gt;"",$B592,$O591))</f>
        <v/>
      </c>
    </row>
    <row r="593">
      <c r="N593">
        <f>IF($A593="","",IF(COUNTIFS($A$2:$A593,$A593,$C$2:$C593,$C593)=1,1,0))</f>
        <v/>
      </c>
      <c r="O593">
        <f>IF($A593="","",IF($B593&lt;&gt;"",$B593,$O592))</f>
        <v/>
      </c>
    </row>
    <row r="594">
      <c r="N594">
        <f>IF($A594="","",IF(COUNTIFS($A$2:$A594,$A594,$C$2:$C594,$C594)=1,1,0))</f>
        <v/>
      </c>
      <c r="O594">
        <f>IF($A594="","",IF($B594&lt;&gt;"",$B594,$O593))</f>
        <v/>
      </c>
    </row>
    <row r="595">
      <c r="N595">
        <f>IF($A595="","",IF(COUNTIFS($A$2:$A595,$A595,$C$2:$C595,$C595)=1,1,0))</f>
        <v/>
      </c>
      <c r="O595">
        <f>IF($A595="","",IF($B595&lt;&gt;"",$B595,$O594))</f>
        <v/>
      </c>
    </row>
    <row r="596">
      <c r="N596">
        <f>IF($A596="","",IF(COUNTIFS($A$2:$A596,$A596,$C$2:$C596,$C596)=1,1,0))</f>
        <v/>
      </c>
      <c r="O596">
        <f>IF($A596="","",IF($B596&lt;&gt;"",$B596,$O595))</f>
        <v/>
      </c>
    </row>
    <row r="597">
      <c r="N597">
        <f>IF($A597="","",IF(COUNTIFS($A$2:$A597,$A597,$C$2:$C597,$C597)=1,1,0))</f>
        <v/>
      </c>
      <c r="O597">
        <f>IF($A597="","",IF($B597&lt;&gt;"",$B597,$O596))</f>
        <v/>
      </c>
    </row>
    <row r="598">
      <c r="N598">
        <f>IF($A598="","",IF(COUNTIFS($A$2:$A598,$A598,$C$2:$C598,$C598)=1,1,0))</f>
        <v/>
      </c>
      <c r="O598">
        <f>IF($A598="","",IF($B598&lt;&gt;"",$B598,$O597))</f>
        <v/>
      </c>
    </row>
    <row r="599">
      <c r="N599">
        <f>IF($A599="","",IF(COUNTIFS($A$2:$A599,$A599,$C$2:$C599,$C599)=1,1,0))</f>
        <v/>
      </c>
      <c r="O599">
        <f>IF($A599="","",IF($B599&lt;&gt;"",$B599,$O598))</f>
        <v/>
      </c>
    </row>
    <row r="600">
      <c r="N600">
        <f>IF($A600="","",IF(COUNTIFS($A$2:$A600,$A600,$C$2:$C600,$C600)=1,1,0))</f>
        <v/>
      </c>
      <c r="O600">
        <f>IF($A600="","",IF($B600&lt;&gt;"",$B600,$O599))</f>
        <v/>
      </c>
    </row>
    <row r="601">
      <c r="N601">
        <f>IF($A601="","",IF(COUNTIFS($A$2:$A601,$A601,$C$2:$C601,$C601)=1,1,0))</f>
        <v/>
      </c>
      <c r="O601">
        <f>IF($A601="","",IF($B601&lt;&gt;"",$B601,$O600))</f>
        <v/>
      </c>
    </row>
    <row r="602">
      <c r="N602">
        <f>IF($A602="","",IF(COUNTIFS($A$2:$A602,$A602,$C$2:$C602,$C602)=1,1,0))</f>
        <v/>
      </c>
      <c r="O602">
        <f>IF($A602="","",IF($B602&lt;&gt;"",$B602,$O601))</f>
        <v/>
      </c>
    </row>
    <row r="603">
      <c r="N603">
        <f>IF($A603="","",IF(COUNTIFS($A$2:$A603,$A603,$C$2:$C603,$C603)=1,1,0))</f>
        <v/>
      </c>
      <c r="O603">
        <f>IF($A603="","",IF($B603&lt;&gt;"",$B603,$O602))</f>
        <v/>
      </c>
    </row>
    <row r="604">
      <c r="N604">
        <f>IF($A604="","",IF(COUNTIFS($A$2:$A604,$A604,$C$2:$C604,$C604)=1,1,0))</f>
        <v/>
      </c>
      <c r="O604">
        <f>IF($A604="","",IF($B604&lt;&gt;"",$B604,$O603))</f>
        <v/>
      </c>
    </row>
    <row r="605">
      <c r="N605">
        <f>IF($A605="","",IF(COUNTIFS($A$2:$A605,$A605,$C$2:$C605,$C605)=1,1,0))</f>
        <v/>
      </c>
      <c r="O605">
        <f>IF($A605="","",IF($B605&lt;&gt;"",$B605,$O604))</f>
        <v/>
      </c>
    </row>
    <row r="606">
      <c r="N606">
        <f>IF($A606="","",IF(COUNTIFS($A$2:$A606,$A606,$C$2:$C606,$C606)=1,1,0))</f>
        <v/>
      </c>
      <c r="O606">
        <f>IF($A606="","",IF($B606&lt;&gt;"",$B606,$O605))</f>
        <v/>
      </c>
    </row>
    <row r="607">
      <c r="N607">
        <f>IF($A607="","",IF(COUNTIFS($A$2:$A607,$A607,$C$2:$C607,$C607)=1,1,0))</f>
        <v/>
      </c>
      <c r="O607">
        <f>IF($A607="","",IF($B607&lt;&gt;"",$B607,$O606))</f>
        <v/>
      </c>
    </row>
    <row r="608">
      <c r="N608">
        <f>IF($A608="","",IF(COUNTIFS($A$2:$A608,$A608,$C$2:$C608,$C608)=1,1,0))</f>
        <v/>
      </c>
      <c r="O608">
        <f>IF($A608="","",IF($B608&lt;&gt;"",$B608,$O607))</f>
        <v/>
      </c>
    </row>
    <row r="609">
      <c r="N609">
        <f>IF($A609="","",IF(COUNTIFS($A$2:$A609,$A609,$C$2:$C609,$C609)=1,1,0))</f>
        <v/>
      </c>
      <c r="O609">
        <f>IF($A609="","",IF($B609&lt;&gt;"",$B609,$O608))</f>
        <v/>
      </c>
    </row>
    <row r="610">
      <c r="N610">
        <f>IF($A610="","",IF(COUNTIFS($A$2:$A610,$A610,$C$2:$C610,$C610)=1,1,0))</f>
        <v/>
      </c>
      <c r="O610">
        <f>IF($A610="","",IF($B610&lt;&gt;"",$B610,$O609))</f>
        <v/>
      </c>
    </row>
    <row r="611">
      <c r="N611">
        <f>IF($A611="","",IF(COUNTIFS($A$2:$A611,$A611,$C$2:$C611,$C611)=1,1,0))</f>
        <v/>
      </c>
      <c r="O611">
        <f>IF($A611="","",IF($B611&lt;&gt;"",$B611,$O610))</f>
        <v/>
      </c>
    </row>
    <row r="612">
      <c r="N612">
        <f>IF($A612="","",IF(COUNTIFS($A$2:$A612,$A612,$C$2:$C612,$C612)=1,1,0))</f>
        <v/>
      </c>
      <c r="O612">
        <f>IF($A612="","",IF($B612&lt;&gt;"",$B612,$O611))</f>
        <v/>
      </c>
    </row>
    <row r="613">
      <c r="N613">
        <f>IF($A613="","",IF(COUNTIFS($A$2:$A613,$A613,$C$2:$C613,$C613)=1,1,0))</f>
        <v/>
      </c>
      <c r="O613">
        <f>IF($A613="","",IF($B613&lt;&gt;"",$B613,$O612))</f>
        <v/>
      </c>
    </row>
    <row r="614">
      <c r="N614">
        <f>IF($A614="","",IF(COUNTIFS($A$2:$A614,$A614,$C$2:$C614,$C614)=1,1,0))</f>
        <v/>
      </c>
      <c r="O614">
        <f>IF($A614="","",IF($B614&lt;&gt;"",$B614,$O613))</f>
        <v/>
      </c>
    </row>
    <row r="615">
      <c r="N615">
        <f>IF($A615="","",IF(COUNTIFS($A$2:$A615,$A615,$C$2:$C615,$C615)=1,1,0))</f>
        <v/>
      </c>
      <c r="O615">
        <f>IF($A615="","",IF($B615&lt;&gt;"",$B615,$O614))</f>
        <v/>
      </c>
    </row>
    <row r="616">
      <c r="N616">
        <f>IF($A616="","",IF(COUNTIFS($A$2:$A616,$A616,$C$2:$C616,$C616)=1,1,0))</f>
        <v/>
      </c>
      <c r="O616">
        <f>IF($A616="","",IF($B616&lt;&gt;"",$B616,$O615))</f>
        <v/>
      </c>
    </row>
    <row r="617">
      <c r="N617">
        <f>IF($A617="","",IF(COUNTIFS($A$2:$A617,$A617,$C$2:$C617,$C617)=1,1,0))</f>
        <v/>
      </c>
      <c r="O617">
        <f>IF($A617="","",IF($B617&lt;&gt;"",$B617,$O616))</f>
        <v/>
      </c>
    </row>
    <row r="618">
      <c r="N618">
        <f>IF($A618="","",IF(COUNTIFS($A$2:$A618,$A618,$C$2:$C618,$C618)=1,1,0))</f>
        <v/>
      </c>
      <c r="O618">
        <f>IF($A618="","",IF($B618&lt;&gt;"",$B618,$O617))</f>
        <v/>
      </c>
    </row>
    <row r="619">
      <c r="N619">
        <f>IF($A619="","",IF(COUNTIFS($A$2:$A619,$A619,$C$2:$C619,$C619)=1,1,0))</f>
        <v/>
      </c>
      <c r="O619">
        <f>IF($A619="","",IF($B619&lt;&gt;"",$B619,$O618))</f>
        <v/>
      </c>
    </row>
    <row r="620">
      <c r="N620">
        <f>IF($A620="","",IF(COUNTIFS($A$2:$A620,$A620,$C$2:$C620,$C620)=1,1,0))</f>
        <v/>
      </c>
      <c r="O620">
        <f>IF($A620="","",IF($B620&lt;&gt;"",$B620,$O619))</f>
        <v/>
      </c>
    </row>
    <row r="621">
      <c r="N621">
        <f>IF($A621="","",IF(COUNTIFS($A$2:$A621,$A621,$C$2:$C621,$C621)=1,1,0))</f>
        <v/>
      </c>
      <c r="O621">
        <f>IF($A621="","",IF($B621&lt;&gt;"",$B621,$O620))</f>
        <v/>
      </c>
    </row>
    <row r="622">
      <c r="N622">
        <f>IF($A622="","",IF(COUNTIFS($A$2:$A622,$A622,$C$2:$C622,$C622)=1,1,0))</f>
        <v/>
      </c>
      <c r="O622">
        <f>IF($A622="","",IF($B622&lt;&gt;"",$B622,$O621))</f>
        <v/>
      </c>
    </row>
    <row r="623">
      <c r="N623">
        <f>IF($A623="","",IF(COUNTIFS($A$2:$A623,$A623,$C$2:$C623,$C623)=1,1,0))</f>
        <v/>
      </c>
      <c r="O623">
        <f>IF($A623="","",IF($B623&lt;&gt;"",$B623,$O622))</f>
        <v/>
      </c>
    </row>
    <row r="624">
      <c r="N624">
        <f>IF($A624="","",IF(COUNTIFS($A$2:$A624,$A624,$C$2:$C624,$C624)=1,1,0))</f>
        <v/>
      </c>
      <c r="O624">
        <f>IF($A624="","",IF($B624&lt;&gt;"",$B624,$O623))</f>
        <v/>
      </c>
    </row>
    <row r="625">
      <c r="N625">
        <f>IF($A625="","",IF(COUNTIFS($A$2:$A625,$A625,$C$2:$C625,$C625)=1,1,0))</f>
        <v/>
      </c>
      <c r="O625">
        <f>IF($A625="","",IF($B625&lt;&gt;"",$B625,$O624))</f>
        <v/>
      </c>
    </row>
    <row r="626">
      <c r="N626">
        <f>IF($A626="","",IF(COUNTIFS($A$2:$A626,$A626,$C$2:$C626,$C626)=1,1,0))</f>
        <v/>
      </c>
      <c r="O626">
        <f>IF($A626="","",IF($B626&lt;&gt;"",$B626,$O625))</f>
        <v/>
      </c>
    </row>
    <row r="627">
      <c r="N627">
        <f>IF($A627="","",IF(COUNTIFS($A$2:$A627,$A627,$C$2:$C627,$C627)=1,1,0))</f>
        <v/>
      </c>
      <c r="O627">
        <f>IF($A627="","",IF($B627&lt;&gt;"",$B627,$O626))</f>
        <v/>
      </c>
    </row>
    <row r="628">
      <c r="N628">
        <f>IF($A628="","",IF(COUNTIFS($A$2:$A628,$A628,$C$2:$C628,$C628)=1,1,0))</f>
        <v/>
      </c>
      <c r="O628">
        <f>IF($A628="","",IF($B628&lt;&gt;"",$B628,$O627))</f>
        <v/>
      </c>
    </row>
    <row r="629">
      <c r="N629">
        <f>IF($A629="","",IF(COUNTIFS($A$2:$A629,$A629,$C$2:$C629,$C629)=1,1,0))</f>
        <v/>
      </c>
      <c r="O629">
        <f>IF($A629="","",IF($B629&lt;&gt;"",$B629,$O628))</f>
        <v/>
      </c>
    </row>
    <row r="630">
      <c r="N630">
        <f>IF($A630="","",IF(COUNTIFS($A$2:$A630,$A630,$C$2:$C630,$C630)=1,1,0))</f>
        <v/>
      </c>
      <c r="O630">
        <f>IF($A630="","",IF($B630&lt;&gt;"",$B630,$O629))</f>
        <v/>
      </c>
    </row>
    <row r="631">
      <c r="N631">
        <f>IF($A631="","",IF(COUNTIFS($A$2:$A631,$A631,$C$2:$C631,$C631)=1,1,0))</f>
        <v/>
      </c>
      <c r="O631">
        <f>IF($A631="","",IF($B631&lt;&gt;"",$B631,$O630))</f>
        <v/>
      </c>
    </row>
    <row r="632">
      <c r="N632">
        <f>IF($A632="","",IF(COUNTIFS($A$2:$A632,$A632,$C$2:$C632,$C632)=1,1,0))</f>
        <v/>
      </c>
      <c r="O632">
        <f>IF($A632="","",IF($B632&lt;&gt;"",$B632,$O631))</f>
        <v/>
      </c>
    </row>
    <row r="633">
      <c r="N633">
        <f>IF($A633="","",IF(COUNTIFS($A$2:$A633,$A633,$C$2:$C633,$C633)=1,1,0))</f>
        <v/>
      </c>
      <c r="O633">
        <f>IF($A633="","",IF($B633&lt;&gt;"",$B633,$O632))</f>
        <v/>
      </c>
    </row>
    <row r="634">
      <c r="N634">
        <f>IF($A634="","",IF(COUNTIFS($A$2:$A634,$A634,$C$2:$C634,$C634)=1,1,0))</f>
        <v/>
      </c>
      <c r="O634">
        <f>IF($A634="","",IF($B634&lt;&gt;"",$B634,$O633))</f>
        <v/>
      </c>
    </row>
    <row r="635">
      <c r="N635">
        <f>IF($A635="","",IF(COUNTIFS($A$2:$A635,$A635,$C$2:$C635,$C635)=1,1,0))</f>
        <v/>
      </c>
      <c r="O635">
        <f>IF($A635="","",IF($B635&lt;&gt;"",$B635,$O634))</f>
        <v/>
      </c>
    </row>
    <row r="636">
      <c r="N636">
        <f>IF($A636="","",IF(COUNTIFS($A$2:$A636,$A636,$C$2:$C636,$C636)=1,1,0))</f>
        <v/>
      </c>
      <c r="O636">
        <f>IF($A636="","",IF($B636&lt;&gt;"",$B636,$O635))</f>
        <v/>
      </c>
    </row>
    <row r="637">
      <c r="N637">
        <f>IF($A637="","",IF(COUNTIFS($A$2:$A637,$A637,$C$2:$C637,$C637)=1,1,0))</f>
        <v/>
      </c>
      <c r="O637">
        <f>IF($A637="","",IF($B637&lt;&gt;"",$B637,$O636))</f>
        <v/>
      </c>
    </row>
    <row r="638">
      <c r="N638">
        <f>IF($A638="","",IF(COUNTIFS($A$2:$A638,$A638,$C$2:$C638,$C638)=1,1,0))</f>
        <v/>
      </c>
      <c r="O638">
        <f>IF($A638="","",IF($B638&lt;&gt;"",$B638,$O637))</f>
        <v/>
      </c>
    </row>
    <row r="639">
      <c r="N639">
        <f>IF($A639="","",IF(COUNTIFS($A$2:$A639,$A639,$C$2:$C639,$C639)=1,1,0))</f>
        <v/>
      </c>
      <c r="O639">
        <f>IF($A639="","",IF($B639&lt;&gt;"",$B639,$O638))</f>
        <v/>
      </c>
    </row>
    <row r="640">
      <c r="N640">
        <f>IF($A640="","",IF(COUNTIFS($A$2:$A640,$A640,$C$2:$C640,$C640)=1,1,0))</f>
        <v/>
      </c>
      <c r="O640">
        <f>IF($A640="","",IF($B640&lt;&gt;"",$B640,$O639))</f>
        <v/>
      </c>
    </row>
    <row r="641">
      <c r="N641">
        <f>IF($A641="","",IF(COUNTIFS($A$2:$A641,$A641,$C$2:$C641,$C641)=1,1,0))</f>
        <v/>
      </c>
      <c r="O641">
        <f>IF($A641="","",IF($B641&lt;&gt;"",$B641,$O640))</f>
        <v/>
      </c>
    </row>
    <row r="642">
      <c r="N642">
        <f>IF($A642="","",IF(COUNTIFS($A$2:$A642,$A642,$C$2:$C642,$C642)=1,1,0))</f>
        <v/>
      </c>
      <c r="O642">
        <f>IF($A642="","",IF($B642&lt;&gt;"",$B642,$O641))</f>
        <v/>
      </c>
    </row>
    <row r="643">
      <c r="N643">
        <f>IF($A643="","",IF(COUNTIFS($A$2:$A643,$A643,$C$2:$C643,$C643)=1,1,0))</f>
        <v/>
      </c>
      <c r="O643">
        <f>IF($A643="","",IF($B643&lt;&gt;"",$B643,$O642))</f>
        <v/>
      </c>
    </row>
    <row r="644">
      <c r="N644">
        <f>IF($A644="","",IF(COUNTIFS($A$2:$A644,$A644,$C$2:$C644,$C644)=1,1,0))</f>
        <v/>
      </c>
      <c r="O644">
        <f>IF($A644="","",IF($B644&lt;&gt;"",$B644,$O643))</f>
        <v/>
      </c>
    </row>
    <row r="645">
      <c r="N645">
        <f>IF($A645="","",IF(COUNTIFS($A$2:$A645,$A645,$C$2:$C645,$C645)=1,1,0))</f>
        <v/>
      </c>
      <c r="O645">
        <f>IF($A645="","",IF($B645&lt;&gt;"",$B645,$O644))</f>
        <v/>
      </c>
    </row>
    <row r="646">
      <c r="N646">
        <f>IF($A646="","",IF(COUNTIFS($A$2:$A646,$A646,$C$2:$C646,$C646)=1,1,0))</f>
        <v/>
      </c>
      <c r="O646">
        <f>IF($A646="","",IF($B646&lt;&gt;"",$B646,$O645))</f>
        <v/>
      </c>
    </row>
    <row r="647">
      <c r="N647">
        <f>IF($A647="","",IF(COUNTIFS($A$2:$A647,$A647,$C$2:$C647,$C647)=1,1,0))</f>
        <v/>
      </c>
      <c r="O647">
        <f>IF($A647="","",IF($B647&lt;&gt;"",$B647,$O646))</f>
        <v/>
      </c>
    </row>
    <row r="648">
      <c r="N648">
        <f>IF($A648="","",IF(COUNTIFS($A$2:$A648,$A648,$C$2:$C648,$C648)=1,1,0))</f>
        <v/>
      </c>
      <c r="O648">
        <f>IF($A648="","",IF($B648&lt;&gt;"",$B648,$O647))</f>
        <v/>
      </c>
    </row>
    <row r="649">
      <c r="N649">
        <f>IF($A649="","",IF(COUNTIFS($A$2:$A649,$A649,$C$2:$C649,$C649)=1,1,0))</f>
        <v/>
      </c>
      <c r="O649">
        <f>IF($A649="","",IF($B649&lt;&gt;"",$B649,$O648))</f>
        <v/>
      </c>
    </row>
    <row r="650">
      <c r="N650">
        <f>IF($A650="","",IF(COUNTIFS($A$2:$A650,$A650,$C$2:$C650,$C650)=1,1,0))</f>
        <v/>
      </c>
      <c r="O650">
        <f>IF($A650="","",IF($B650&lt;&gt;"",$B650,$O649))</f>
        <v/>
      </c>
    </row>
    <row r="651">
      <c r="N651">
        <f>IF($A651="","",IF(COUNTIFS($A$2:$A651,$A651,$C$2:$C651,$C651)=1,1,0))</f>
        <v/>
      </c>
      <c r="O651">
        <f>IF($A651="","",IF($B651&lt;&gt;"",$B651,$O650))</f>
        <v/>
      </c>
    </row>
    <row r="652">
      <c r="N652">
        <f>IF($A652="","",IF(COUNTIFS($A$2:$A652,$A652,$C$2:$C652,$C652)=1,1,0))</f>
        <v/>
      </c>
      <c r="O652">
        <f>IF($A652="","",IF($B652&lt;&gt;"",$B652,$O651))</f>
        <v/>
      </c>
    </row>
    <row r="653">
      <c r="N653">
        <f>IF($A653="","",IF(COUNTIFS($A$2:$A653,$A653,$C$2:$C653,$C653)=1,1,0))</f>
        <v/>
      </c>
      <c r="O653">
        <f>IF($A653="","",IF($B653&lt;&gt;"",$B653,$O652))</f>
        <v/>
      </c>
    </row>
    <row r="654">
      <c r="N654">
        <f>IF($A654="","",IF(COUNTIFS($A$2:$A654,$A654,$C$2:$C654,$C654)=1,1,0))</f>
        <v/>
      </c>
      <c r="O654">
        <f>IF($A654="","",IF($B654&lt;&gt;"",$B654,$O653))</f>
        <v/>
      </c>
    </row>
    <row r="655">
      <c r="N655">
        <f>IF($A655="","",IF(COUNTIFS($A$2:$A655,$A655,$C$2:$C655,$C655)=1,1,0))</f>
        <v/>
      </c>
      <c r="O655">
        <f>IF($A655="","",IF($B655&lt;&gt;"",$B655,$O654))</f>
        <v/>
      </c>
    </row>
    <row r="656">
      <c r="N656">
        <f>IF($A656="","",IF(COUNTIFS($A$2:$A656,$A656,$C$2:$C656,$C656)=1,1,0))</f>
        <v/>
      </c>
      <c r="O656">
        <f>IF($A656="","",IF($B656&lt;&gt;"",$B656,$O655))</f>
        <v/>
      </c>
    </row>
    <row r="657">
      <c r="N657">
        <f>IF($A657="","",IF(COUNTIFS($A$2:$A657,$A657,$C$2:$C657,$C657)=1,1,0))</f>
        <v/>
      </c>
      <c r="O657">
        <f>IF($A657="","",IF($B657&lt;&gt;"",$B657,$O656))</f>
        <v/>
      </c>
    </row>
    <row r="658">
      <c r="N658">
        <f>IF($A658="","",IF(COUNTIFS($A$2:$A658,$A658,$C$2:$C658,$C658)=1,1,0))</f>
        <v/>
      </c>
      <c r="O658">
        <f>IF($A658="","",IF($B658&lt;&gt;"",$B658,$O657))</f>
        <v/>
      </c>
    </row>
    <row r="659">
      <c r="N659">
        <f>IF($A659="","",IF(COUNTIFS($A$2:$A659,$A659,$C$2:$C659,$C659)=1,1,0))</f>
        <v/>
      </c>
      <c r="O659">
        <f>IF($A659="","",IF($B659&lt;&gt;"",$B659,$O658))</f>
        <v/>
      </c>
    </row>
    <row r="660">
      <c r="N660">
        <f>IF($A660="","",IF(COUNTIFS($A$2:$A660,$A660,$C$2:$C660,$C660)=1,1,0))</f>
        <v/>
      </c>
      <c r="O660">
        <f>IF($A660="","",IF($B660&lt;&gt;"",$B660,$O659))</f>
        <v/>
      </c>
    </row>
    <row r="661">
      <c r="N661">
        <f>IF($A661="","",IF(COUNTIFS($A$2:$A661,$A661,$C$2:$C661,$C661)=1,1,0))</f>
        <v/>
      </c>
      <c r="O661">
        <f>IF($A661="","",IF($B661&lt;&gt;"",$B661,$O660))</f>
        <v/>
      </c>
    </row>
    <row r="662">
      <c r="N662">
        <f>IF($A662="","",IF(COUNTIFS($A$2:$A662,$A662,$C$2:$C662,$C662)=1,1,0))</f>
        <v/>
      </c>
      <c r="O662">
        <f>IF($A662="","",IF($B662&lt;&gt;"",$B662,$O661))</f>
        <v/>
      </c>
    </row>
    <row r="663">
      <c r="N663">
        <f>IF($A663="","",IF(COUNTIFS($A$2:$A663,$A663,$C$2:$C663,$C663)=1,1,0))</f>
        <v/>
      </c>
      <c r="O663">
        <f>IF($A663="","",IF($B663&lt;&gt;"",$B663,$O662))</f>
        <v/>
      </c>
    </row>
    <row r="664">
      <c r="N664">
        <f>IF($A664="","",IF(COUNTIFS($A$2:$A664,$A664,$C$2:$C664,$C664)=1,1,0))</f>
        <v/>
      </c>
      <c r="O664">
        <f>IF($A664="","",IF($B664&lt;&gt;"",$B664,$O663))</f>
        <v/>
      </c>
    </row>
    <row r="665">
      <c r="N665">
        <f>IF($A665="","",IF(COUNTIFS($A$2:$A665,$A665,$C$2:$C665,$C665)=1,1,0))</f>
        <v/>
      </c>
      <c r="O665">
        <f>IF($A665="","",IF($B665&lt;&gt;"",$B665,$O664))</f>
        <v/>
      </c>
    </row>
    <row r="666">
      <c r="N666">
        <f>IF($A666="","",IF(COUNTIFS($A$2:$A666,$A666,$C$2:$C666,$C666)=1,1,0))</f>
        <v/>
      </c>
      <c r="O666">
        <f>IF($A666="","",IF($B666&lt;&gt;"",$B666,$O665))</f>
        <v/>
      </c>
    </row>
    <row r="667">
      <c r="N667">
        <f>IF($A667="","",IF(COUNTIFS($A$2:$A667,$A667,$C$2:$C667,$C667)=1,1,0))</f>
        <v/>
      </c>
      <c r="O667">
        <f>IF($A667="","",IF($B667&lt;&gt;"",$B667,$O666))</f>
        <v/>
      </c>
    </row>
    <row r="668">
      <c r="N668">
        <f>IF($A668="","",IF(COUNTIFS($A$2:$A668,$A668,$C$2:$C668,$C668)=1,1,0))</f>
        <v/>
      </c>
      <c r="O668">
        <f>IF($A668="","",IF($B668&lt;&gt;"",$B668,$O667))</f>
        <v/>
      </c>
    </row>
    <row r="669">
      <c r="N669">
        <f>IF($A669="","",IF(COUNTIFS($A$2:$A669,$A669,$C$2:$C669,$C669)=1,1,0))</f>
        <v/>
      </c>
      <c r="O669">
        <f>IF($A669="","",IF($B669&lt;&gt;"",$B669,$O668))</f>
        <v/>
      </c>
    </row>
    <row r="670">
      <c r="N670">
        <f>IF($A670="","",IF(COUNTIFS($A$2:$A670,$A670,$C$2:$C670,$C670)=1,1,0))</f>
        <v/>
      </c>
      <c r="O670">
        <f>IF($A670="","",IF($B670&lt;&gt;"",$B670,$O669))</f>
        <v/>
      </c>
    </row>
    <row r="671">
      <c r="N671">
        <f>IF($A671="","",IF(COUNTIFS($A$2:$A671,$A671,$C$2:$C671,$C671)=1,1,0))</f>
        <v/>
      </c>
      <c r="O671">
        <f>IF($A671="","",IF($B671&lt;&gt;"",$B671,$O670))</f>
        <v/>
      </c>
    </row>
    <row r="672">
      <c r="N672">
        <f>IF($A672="","",IF(COUNTIFS($A$2:$A672,$A672,$C$2:$C672,$C672)=1,1,0))</f>
        <v/>
      </c>
      <c r="O672">
        <f>IF($A672="","",IF($B672&lt;&gt;"",$B672,$O671))</f>
        <v/>
      </c>
    </row>
    <row r="673">
      <c r="N673">
        <f>IF($A673="","",IF(COUNTIFS($A$2:$A673,$A673,$C$2:$C673,$C673)=1,1,0))</f>
        <v/>
      </c>
      <c r="O673">
        <f>IF($A673="","",IF($B673&lt;&gt;"",$B673,$O672))</f>
        <v/>
      </c>
    </row>
    <row r="674">
      <c r="N674">
        <f>IF($A674="","",IF(COUNTIFS($A$2:$A674,$A674,$C$2:$C674,$C674)=1,1,0))</f>
        <v/>
      </c>
      <c r="O674">
        <f>IF($A674="","",IF($B674&lt;&gt;"",$B674,$O673))</f>
        <v/>
      </c>
    </row>
    <row r="675">
      <c r="N675">
        <f>IF($A675="","",IF(COUNTIFS($A$2:$A675,$A675,$C$2:$C675,$C675)=1,1,0))</f>
        <v/>
      </c>
      <c r="O675">
        <f>IF($A675="","",IF($B675&lt;&gt;"",$B675,$O674))</f>
        <v/>
      </c>
    </row>
    <row r="676">
      <c r="N676">
        <f>IF($A676="","",IF(COUNTIFS($A$2:$A676,$A676,$C$2:$C676,$C676)=1,1,0))</f>
        <v/>
      </c>
      <c r="O676">
        <f>IF($A676="","",IF($B676&lt;&gt;"",$B676,$O675))</f>
        <v/>
      </c>
    </row>
    <row r="677">
      <c r="N677">
        <f>IF($A677="","",IF(COUNTIFS($A$2:$A677,$A677,$C$2:$C677,$C677)=1,1,0))</f>
        <v/>
      </c>
      <c r="O677">
        <f>IF($A677="","",IF($B677&lt;&gt;"",$B677,$O676))</f>
        <v/>
      </c>
    </row>
    <row r="678">
      <c r="N678">
        <f>IF($A678="","",IF(COUNTIFS($A$2:$A678,$A678,$C$2:$C678,$C678)=1,1,0))</f>
        <v/>
      </c>
      <c r="O678">
        <f>IF($A678="","",IF($B678&lt;&gt;"",$B678,$O677))</f>
        <v/>
      </c>
    </row>
    <row r="679">
      <c r="N679">
        <f>IF($A679="","",IF(COUNTIFS($A$2:$A679,$A679,$C$2:$C679,$C679)=1,1,0))</f>
        <v/>
      </c>
      <c r="O679">
        <f>IF($A679="","",IF($B679&lt;&gt;"",$B679,$O678))</f>
        <v/>
      </c>
    </row>
    <row r="680">
      <c r="N680">
        <f>IF($A680="","",IF(COUNTIFS($A$2:$A680,$A680,$C$2:$C680,$C680)=1,1,0))</f>
        <v/>
      </c>
      <c r="O680">
        <f>IF($A680="","",IF($B680&lt;&gt;"",$B680,$O679))</f>
        <v/>
      </c>
    </row>
    <row r="681">
      <c r="N681">
        <f>IF($A681="","",IF(COUNTIFS($A$2:$A681,$A681,$C$2:$C681,$C681)=1,1,0))</f>
        <v/>
      </c>
      <c r="O681">
        <f>IF($A681="","",IF($B681&lt;&gt;"",$B681,$O680))</f>
        <v/>
      </c>
    </row>
    <row r="682">
      <c r="N682">
        <f>IF($A682="","",IF(COUNTIFS($A$2:$A682,$A682,$C$2:$C682,$C682)=1,1,0))</f>
        <v/>
      </c>
      <c r="O682">
        <f>IF($A682="","",IF($B682&lt;&gt;"",$B682,$O681))</f>
        <v/>
      </c>
    </row>
    <row r="683">
      <c r="N683">
        <f>IF($A683="","",IF(COUNTIFS($A$2:$A683,$A683,$C$2:$C683,$C683)=1,1,0))</f>
        <v/>
      </c>
      <c r="O683">
        <f>IF($A683="","",IF($B683&lt;&gt;"",$B683,$O682))</f>
        <v/>
      </c>
    </row>
    <row r="684">
      <c r="N684">
        <f>IF($A684="","",IF(COUNTIFS($A$2:$A684,$A684,$C$2:$C684,$C684)=1,1,0))</f>
        <v/>
      </c>
      <c r="O684">
        <f>IF($A684="","",IF($B684&lt;&gt;"",$B684,$O683))</f>
        <v/>
      </c>
    </row>
    <row r="685">
      <c r="N685">
        <f>IF($A685="","",IF(COUNTIFS($A$2:$A685,$A685,$C$2:$C685,$C685)=1,1,0))</f>
        <v/>
      </c>
      <c r="O685">
        <f>IF($A685="","",IF($B685&lt;&gt;"",$B685,$O684))</f>
        <v/>
      </c>
    </row>
    <row r="686">
      <c r="N686">
        <f>IF($A686="","",IF(COUNTIFS($A$2:$A686,$A686,$C$2:$C686,$C686)=1,1,0))</f>
        <v/>
      </c>
      <c r="O686">
        <f>IF($A686="","",IF($B686&lt;&gt;"",$B686,$O685))</f>
        <v/>
      </c>
    </row>
    <row r="687">
      <c r="N687">
        <f>IF($A687="","",IF(COUNTIFS($A$2:$A687,$A687,$C$2:$C687,$C687)=1,1,0))</f>
        <v/>
      </c>
      <c r="O687">
        <f>IF($A687="","",IF($B687&lt;&gt;"",$B687,$O686))</f>
        <v/>
      </c>
    </row>
    <row r="688">
      <c r="N688">
        <f>IF($A688="","",IF(COUNTIFS($A$2:$A688,$A688,$C$2:$C688,$C688)=1,1,0))</f>
        <v/>
      </c>
      <c r="O688">
        <f>IF($A688="","",IF($B688&lt;&gt;"",$B688,$O687))</f>
        <v/>
      </c>
    </row>
    <row r="689">
      <c r="N689">
        <f>IF($A689="","",IF(COUNTIFS($A$2:$A689,$A689,$C$2:$C689,$C689)=1,1,0))</f>
        <v/>
      </c>
      <c r="O689">
        <f>IF($A689="","",IF($B689&lt;&gt;"",$B689,$O688))</f>
        <v/>
      </c>
    </row>
    <row r="690">
      <c r="N690">
        <f>IF($A690="","",IF(COUNTIFS($A$2:$A690,$A690,$C$2:$C690,$C690)=1,1,0))</f>
        <v/>
      </c>
      <c r="O690">
        <f>IF($A690="","",IF($B690&lt;&gt;"",$B690,$O689))</f>
        <v/>
      </c>
    </row>
    <row r="691">
      <c r="N691">
        <f>IF($A691="","",IF(COUNTIFS($A$2:$A691,$A691,$C$2:$C691,$C691)=1,1,0))</f>
        <v/>
      </c>
      <c r="O691">
        <f>IF($A691="","",IF($B691&lt;&gt;"",$B691,$O690))</f>
        <v/>
      </c>
    </row>
    <row r="692">
      <c r="N692">
        <f>IF($A692="","",IF(COUNTIFS($A$2:$A692,$A692,$C$2:$C692,$C692)=1,1,0))</f>
        <v/>
      </c>
      <c r="O692">
        <f>IF($A692="","",IF($B692&lt;&gt;"",$B692,$O691))</f>
        <v/>
      </c>
    </row>
    <row r="693">
      <c r="N693">
        <f>IF($A693="","",IF(COUNTIFS($A$2:$A693,$A693,$C$2:$C693,$C693)=1,1,0))</f>
        <v/>
      </c>
      <c r="O693">
        <f>IF($A693="","",IF($B693&lt;&gt;"",$B693,$O692))</f>
        <v/>
      </c>
    </row>
    <row r="694">
      <c r="N694">
        <f>IF($A694="","",IF(COUNTIFS($A$2:$A694,$A694,$C$2:$C694,$C694)=1,1,0))</f>
        <v/>
      </c>
      <c r="O694">
        <f>IF($A694="","",IF($B694&lt;&gt;"",$B694,$O693))</f>
        <v/>
      </c>
    </row>
    <row r="695">
      <c r="N695">
        <f>IF($A695="","",IF(COUNTIFS($A$2:$A695,$A695,$C$2:$C695,$C695)=1,1,0))</f>
        <v/>
      </c>
      <c r="O695">
        <f>IF($A695="","",IF($B695&lt;&gt;"",$B695,$O694))</f>
        <v/>
      </c>
    </row>
    <row r="696">
      <c r="N696">
        <f>IF($A696="","",IF(COUNTIFS($A$2:$A696,$A696,$C$2:$C696,$C696)=1,1,0))</f>
        <v/>
      </c>
      <c r="O696">
        <f>IF($A696="","",IF($B696&lt;&gt;"",$B696,$O695))</f>
        <v/>
      </c>
    </row>
    <row r="697">
      <c r="N697">
        <f>IF($A697="","",IF(COUNTIFS($A$2:$A697,$A697,$C$2:$C697,$C697)=1,1,0))</f>
        <v/>
      </c>
      <c r="O697">
        <f>IF($A697="","",IF($B697&lt;&gt;"",$B697,$O696))</f>
        <v/>
      </c>
    </row>
    <row r="698">
      <c r="N698">
        <f>IF($A698="","",IF(COUNTIFS($A$2:$A698,$A698,$C$2:$C698,$C698)=1,1,0))</f>
        <v/>
      </c>
      <c r="O698">
        <f>IF($A698="","",IF($B698&lt;&gt;"",$B698,$O697))</f>
        <v/>
      </c>
    </row>
    <row r="699">
      <c r="N699">
        <f>IF($A699="","",IF(COUNTIFS($A$2:$A699,$A699,$C$2:$C699,$C699)=1,1,0))</f>
        <v/>
      </c>
      <c r="O699">
        <f>IF($A699="","",IF($B699&lt;&gt;"",$B699,$O698))</f>
        <v/>
      </c>
    </row>
    <row r="700">
      <c r="N700">
        <f>IF($A700="","",IF(COUNTIFS($A$2:$A700,$A700,$C$2:$C700,$C700)=1,1,0))</f>
        <v/>
      </c>
      <c r="O700">
        <f>IF($A700="","",IF($B700&lt;&gt;"",$B700,$O699))</f>
        <v/>
      </c>
    </row>
    <row r="701">
      <c r="N701">
        <f>IF($A701="","",IF(COUNTIFS($A$2:$A701,$A701,$C$2:$C701,$C701)=1,1,0))</f>
        <v/>
      </c>
      <c r="O701">
        <f>IF($A701="","",IF($B701&lt;&gt;"",$B701,$O700))</f>
        <v/>
      </c>
    </row>
    <row r="702">
      <c r="N702">
        <f>IF($A702="","",IF(COUNTIFS($A$2:$A702,$A702,$C$2:$C702,$C702)=1,1,0))</f>
        <v/>
      </c>
      <c r="O702">
        <f>IF($A702="","",IF($B702&lt;&gt;"",$B702,$O701))</f>
        <v/>
      </c>
    </row>
    <row r="703">
      <c r="N703">
        <f>IF($A703="","",IF(COUNTIFS($A$2:$A703,$A703,$C$2:$C703,$C703)=1,1,0))</f>
        <v/>
      </c>
      <c r="O703">
        <f>IF($A703="","",IF($B703&lt;&gt;"",$B703,$O702))</f>
        <v/>
      </c>
    </row>
    <row r="704">
      <c r="N704">
        <f>IF($A704="","",IF(COUNTIFS($A$2:$A704,$A704,$C$2:$C704,$C704)=1,1,0))</f>
        <v/>
      </c>
      <c r="O704">
        <f>IF($A704="","",IF($B704&lt;&gt;"",$B704,$O703))</f>
        <v/>
      </c>
    </row>
    <row r="705">
      <c r="N705">
        <f>IF($A705="","",IF(COUNTIFS($A$2:$A705,$A705,$C$2:$C705,$C705)=1,1,0))</f>
        <v/>
      </c>
      <c r="O705">
        <f>IF($A705="","",IF($B705&lt;&gt;"",$B705,$O704))</f>
        <v/>
      </c>
    </row>
    <row r="706">
      <c r="N706">
        <f>IF($A706="","",IF(COUNTIFS($A$2:$A706,$A706,$C$2:$C706,$C706)=1,1,0))</f>
        <v/>
      </c>
      <c r="O706">
        <f>IF($A706="","",IF($B706&lt;&gt;"",$B706,$O705))</f>
        <v/>
      </c>
    </row>
    <row r="707">
      <c r="N707">
        <f>IF($A707="","",IF(COUNTIFS($A$2:$A707,$A707,$C$2:$C707,$C707)=1,1,0))</f>
        <v/>
      </c>
      <c r="O707">
        <f>IF($A707="","",IF($B707&lt;&gt;"",$B707,$O706))</f>
        <v/>
      </c>
    </row>
    <row r="708">
      <c r="N708">
        <f>IF($A708="","",IF(COUNTIFS($A$2:$A708,$A708,$C$2:$C708,$C708)=1,1,0))</f>
        <v/>
      </c>
      <c r="O708">
        <f>IF($A708="","",IF($B708&lt;&gt;"",$B708,$O707))</f>
        <v/>
      </c>
    </row>
    <row r="709">
      <c r="N709">
        <f>IF($A709="","",IF(COUNTIFS($A$2:$A709,$A709,$C$2:$C709,$C709)=1,1,0))</f>
        <v/>
      </c>
      <c r="O709">
        <f>IF($A709="","",IF($B709&lt;&gt;"",$B709,$O708))</f>
        <v/>
      </c>
    </row>
    <row r="710">
      <c r="N710">
        <f>IF($A710="","",IF(COUNTIFS($A$2:$A710,$A710,$C$2:$C710,$C710)=1,1,0))</f>
        <v/>
      </c>
      <c r="O710">
        <f>IF($A710="","",IF($B710&lt;&gt;"",$B710,$O709))</f>
        <v/>
      </c>
    </row>
    <row r="711">
      <c r="N711">
        <f>IF($A711="","",IF(COUNTIFS($A$2:$A711,$A711,$C$2:$C711,$C711)=1,1,0))</f>
        <v/>
      </c>
      <c r="O711">
        <f>IF($A711="","",IF($B711&lt;&gt;"",$B711,$O710))</f>
        <v/>
      </c>
    </row>
    <row r="712">
      <c r="N712">
        <f>IF($A712="","",IF(COUNTIFS($A$2:$A712,$A712,$C$2:$C712,$C712)=1,1,0))</f>
        <v/>
      </c>
      <c r="O712">
        <f>IF($A712="","",IF($B712&lt;&gt;"",$B712,$O711))</f>
        <v/>
      </c>
    </row>
    <row r="713">
      <c r="N713">
        <f>IF($A713="","",IF(COUNTIFS($A$2:$A713,$A713,$C$2:$C713,$C713)=1,1,0))</f>
        <v/>
      </c>
      <c r="O713">
        <f>IF($A713="","",IF($B713&lt;&gt;"",$B713,$O712))</f>
        <v/>
      </c>
    </row>
    <row r="714">
      <c r="N714">
        <f>IF($A714="","",IF(COUNTIFS($A$2:$A714,$A714,$C$2:$C714,$C714)=1,1,0))</f>
        <v/>
      </c>
      <c r="O714">
        <f>IF($A714="","",IF($B714&lt;&gt;"",$B714,$O713))</f>
        <v/>
      </c>
    </row>
    <row r="715">
      <c r="N715">
        <f>IF($A715="","",IF(COUNTIFS($A$2:$A715,$A715,$C$2:$C715,$C715)=1,1,0))</f>
        <v/>
      </c>
      <c r="O715">
        <f>IF($A715="","",IF($B715&lt;&gt;"",$B715,$O714))</f>
        <v/>
      </c>
    </row>
    <row r="716">
      <c r="N716">
        <f>IF($A716="","",IF(COUNTIFS($A$2:$A716,$A716,$C$2:$C716,$C716)=1,1,0))</f>
        <v/>
      </c>
      <c r="O716">
        <f>IF($A716="","",IF($B716&lt;&gt;"",$B716,$O715))</f>
        <v/>
      </c>
    </row>
    <row r="717">
      <c r="N717">
        <f>IF($A717="","",IF(COUNTIFS($A$2:$A717,$A717,$C$2:$C717,$C717)=1,1,0))</f>
        <v/>
      </c>
      <c r="O717">
        <f>IF($A717="","",IF($B717&lt;&gt;"",$B717,$O716))</f>
        <v/>
      </c>
    </row>
    <row r="718">
      <c r="N718">
        <f>IF($A718="","",IF(COUNTIFS($A$2:$A718,$A718,$C$2:$C718,$C718)=1,1,0))</f>
        <v/>
      </c>
      <c r="O718">
        <f>IF($A718="","",IF($B718&lt;&gt;"",$B718,$O717))</f>
        <v/>
      </c>
    </row>
    <row r="719">
      <c r="N719">
        <f>IF($A719="","",IF(COUNTIFS($A$2:$A719,$A719,$C$2:$C719,$C719)=1,1,0))</f>
        <v/>
      </c>
      <c r="O719">
        <f>IF($A719="","",IF($B719&lt;&gt;"",$B719,$O718))</f>
        <v/>
      </c>
    </row>
    <row r="720">
      <c r="N720">
        <f>IF($A720="","",IF(COUNTIFS($A$2:$A720,$A720,$C$2:$C720,$C720)=1,1,0))</f>
        <v/>
      </c>
      <c r="O720">
        <f>IF($A720="","",IF($B720&lt;&gt;"",$B720,$O719))</f>
        <v/>
      </c>
    </row>
    <row r="721">
      <c r="N721">
        <f>IF($A721="","",IF(COUNTIFS($A$2:$A721,$A721,$C$2:$C721,$C721)=1,1,0))</f>
        <v/>
      </c>
      <c r="O721">
        <f>IF($A721="","",IF($B721&lt;&gt;"",$B721,$O720))</f>
        <v/>
      </c>
    </row>
    <row r="722">
      <c r="N722">
        <f>IF($A722="","",IF(COUNTIFS($A$2:$A722,$A722,$C$2:$C722,$C722)=1,1,0))</f>
        <v/>
      </c>
      <c r="O722">
        <f>IF($A722="","",IF($B722&lt;&gt;"",$B722,$O721))</f>
        <v/>
      </c>
    </row>
    <row r="723">
      <c r="N723">
        <f>IF($A723="","",IF(COUNTIFS($A$2:$A723,$A723,$C$2:$C723,$C723)=1,1,0))</f>
        <v/>
      </c>
      <c r="O723">
        <f>IF($A723="","",IF($B723&lt;&gt;"",$B723,$O722))</f>
        <v/>
      </c>
    </row>
    <row r="724">
      <c r="N724">
        <f>IF($A724="","",IF(COUNTIFS($A$2:$A724,$A724,$C$2:$C724,$C724)=1,1,0))</f>
        <v/>
      </c>
      <c r="O724">
        <f>IF($A724="","",IF($B724&lt;&gt;"",$B724,$O723))</f>
        <v/>
      </c>
    </row>
    <row r="725">
      <c r="N725">
        <f>IF($A725="","",IF(COUNTIFS($A$2:$A725,$A725,$C$2:$C725,$C725)=1,1,0))</f>
        <v/>
      </c>
      <c r="O725">
        <f>IF($A725="","",IF($B725&lt;&gt;"",$B725,$O724))</f>
        <v/>
      </c>
    </row>
    <row r="726">
      <c r="N726">
        <f>IF($A726="","",IF(COUNTIFS($A$2:$A726,$A726,$C$2:$C726,$C726)=1,1,0))</f>
        <v/>
      </c>
      <c r="O726">
        <f>IF($A726="","",IF($B726&lt;&gt;"",$B726,$O725))</f>
        <v/>
      </c>
    </row>
    <row r="727">
      <c r="N727">
        <f>IF($A727="","",IF(COUNTIFS($A$2:$A727,$A727,$C$2:$C727,$C727)=1,1,0))</f>
        <v/>
      </c>
      <c r="O727">
        <f>IF($A727="","",IF($B727&lt;&gt;"",$B727,$O726))</f>
        <v/>
      </c>
    </row>
    <row r="728">
      <c r="N728">
        <f>IF($A728="","",IF(COUNTIFS($A$2:$A728,$A728,$C$2:$C728,$C728)=1,1,0))</f>
        <v/>
      </c>
      <c r="O728">
        <f>IF($A728="","",IF($B728&lt;&gt;"",$B728,$O727))</f>
        <v/>
      </c>
    </row>
    <row r="729">
      <c r="N729">
        <f>IF($A729="","",IF(COUNTIFS($A$2:$A729,$A729,$C$2:$C729,$C729)=1,1,0))</f>
        <v/>
      </c>
      <c r="O729">
        <f>IF($A729="","",IF($B729&lt;&gt;"",$B729,$O728))</f>
        <v/>
      </c>
    </row>
    <row r="730">
      <c r="N730">
        <f>IF($A730="","",IF(COUNTIFS($A$2:$A730,$A730,$C$2:$C730,$C730)=1,1,0))</f>
        <v/>
      </c>
      <c r="O730">
        <f>IF($A730="","",IF($B730&lt;&gt;"",$B730,$O729))</f>
        <v/>
      </c>
    </row>
    <row r="731">
      <c r="N731">
        <f>IF($A731="","",IF(COUNTIFS($A$2:$A731,$A731,$C$2:$C731,$C731)=1,1,0))</f>
        <v/>
      </c>
      <c r="O731">
        <f>IF($A731="","",IF($B731&lt;&gt;"",$B731,$O730))</f>
        <v/>
      </c>
    </row>
    <row r="732">
      <c r="N732">
        <f>IF($A732="","",IF(COUNTIFS($A$2:$A732,$A732,$C$2:$C732,$C732)=1,1,0))</f>
        <v/>
      </c>
      <c r="O732">
        <f>IF($A732="","",IF($B732&lt;&gt;"",$B732,$O731))</f>
        <v/>
      </c>
    </row>
    <row r="733">
      <c r="N733">
        <f>IF($A733="","",IF(COUNTIFS($A$2:$A733,$A733,$C$2:$C733,$C733)=1,1,0))</f>
        <v/>
      </c>
      <c r="O733">
        <f>IF($A733="","",IF($B733&lt;&gt;"",$B733,$O732))</f>
        <v/>
      </c>
    </row>
    <row r="734">
      <c r="N734">
        <f>IF($A734="","",IF(COUNTIFS($A$2:$A734,$A734,$C$2:$C734,$C734)=1,1,0))</f>
        <v/>
      </c>
      <c r="O734">
        <f>IF($A734="","",IF($B734&lt;&gt;"",$B734,$O733))</f>
        <v/>
      </c>
    </row>
    <row r="735">
      <c r="N735">
        <f>IF($A735="","",IF(COUNTIFS($A$2:$A735,$A735,$C$2:$C735,$C735)=1,1,0))</f>
        <v/>
      </c>
      <c r="O735">
        <f>IF($A735="","",IF($B735&lt;&gt;"",$B735,$O734))</f>
        <v/>
      </c>
    </row>
    <row r="736">
      <c r="N736">
        <f>IF($A736="","",IF(COUNTIFS($A$2:$A736,$A736,$C$2:$C736,$C736)=1,1,0))</f>
        <v/>
      </c>
      <c r="O736">
        <f>IF($A736="","",IF($B736&lt;&gt;"",$B736,$O735))</f>
        <v/>
      </c>
    </row>
    <row r="737">
      <c r="N737">
        <f>IF($A737="","",IF(COUNTIFS($A$2:$A737,$A737,$C$2:$C737,$C737)=1,1,0))</f>
        <v/>
      </c>
      <c r="O737">
        <f>IF($A737="","",IF($B737&lt;&gt;"",$B737,$O736))</f>
        <v/>
      </c>
    </row>
    <row r="738">
      <c r="N738">
        <f>IF($A738="","",IF(COUNTIFS($A$2:$A738,$A738,$C$2:$C738,$C738)=1,1,0))</f>
        <v/>
      </c>
      <c r="O738">
        <f>IF($A738="","",IF($B738&lt;&gt;"",$B738,$O737))</f>
        <v/>
      </c>
    </row>
    <row r="739">
      <c r="N739">
        <f>IF($A739="","",IF(COUNTIFS($A$2:$A739,$A739,$C$2:$C739,$C739)=1,1,0))</f>
        <v/>
      </c>
      <c r="O739">
        <f>IF($A739="","",IF($B739&lt;&gt;"",$B739,$O738))</f>
        <v/>
      </c>
    </row>
    <row r="740">
      <c r="N740">
        <f>IF($A740="","",IF(COUNTIFS($A$2:$A740,$A740,$C$2:$C740,$C740)=1,1,0))</f>
        <v/>
      </c>
      <c r="O740">
        <f>IF($A740="","",IF($B740&lt;&gt;"",$B740,$O739))</f>
        <v/>
      </c>
    </row>
    <row r="741">
      <c r="N741">
        <f>IF($A741="","",IF(COUNTIFS($A$2:$A741,$A741,$C$2:$C741,$C741)=1,1,0))</f>
        <v/>
      </c>
      <c r="O741">
        <f>IF($A741="","",IF($B741&lt;&gt;"",$B741,$O740))</f>
        <v/>
      </c>
    </row>
    <row r="742">
      <c r="N742">
        <f>IF($A742="","",IF(COUNTIFS($A$2:$A742,$A742,$C$2:$C742,$C742)=1,1,0))</f>
        <v/>
      </c>
      <c r="O742">
        <f>IF($A742="","",IF($B742&lt;&gt;"",$B742,$O741))</f>
        <v/>
      </c>
    </row>
    <row r="743">
      <c r="N743">
        <f>IF($A743="","",IF(COUNTIFS($A$2:$A743,$A743,$C$2:$C743,$C743)=1,1,0))</f>
        <v/>
      </c>
      <c r="O743">
        <f>IF($A743="","",IF($B743&lt;&gt;"",$B743,$O742))</f>
        <v/>
      </c>
    </row>
    <row r="744">
      <c r="N744">
        <f>IF($A744="","",IF(COUNTIFS($A$2:$A744,$A744,$C$2:$C744,$C744)=1,1,0))</f>
        <v/>
      </c>
      <c r="O744">
        <f>IF($A744="","",IF($B744&lt;&gt;"",$B744,$O743))</f>
        <v/>
      </c>
    </row>
    <row r="745">
      <c r="N745">
        <f>IF($A745="","",IF(COUNTIFS($A$2:$A745,$A745,$C$2:$C745,$C745)=1,1,0))</f>
        <v/>
      </c>
      <c r="O745">
        <f>IF($A745="","",IF($B745&lt;&gt;"",$B745,$O744))</f>
        <v/>
      </c>
    </row>
    <row r="746">
      <c r="N746">
        <f>IF($A746="","",IF(COUNTIFS($A$2:$A746,$A746,$C$2:$C746,$C746)=1,1,0))</f>
        <v/>
      </c>
      <c r="O746">
        <f>IF($A746="","",IF($B746&lt;&gt;"",$B746,$O745))</f>
        <v/>
      </c>
    </row>
    <row r="747">
      <c r="N747">
        <f>IF($A747="","",IF(COUNTIFS($A$2:$A747,$A747,$C$2:$C747,$C747)=1,1,0))</f>
        <v/>
      </c>
      <c r="O747">
        <f>IF($A747="","",IF($B747&lt;&gt;"",$B747,$O746))</f>
        <v/>
      </c>
    </row>
    <row r="748">
      <c r="N748">
        <f>IF($A748="","",IF(COUNTIFS($A$2:$A748,$A748,$C$2:$C748,$C748)=1,1,0))</f>
        <v/>
      </c>
      <c r="O748">
        <f>IF($A748="","",IF($B748&lt;&gt;"",$B748,$O747))</f>
        <v/>
      </c>
    </row>
    <row r="749">
      <c r="N749">
        <f>IF($A749="","",IF(COUNTIFS($A$2:$A749,$A749,$C$2:$C749,$C749)=1,1,0))</f>
        <v/>
      </c>
      <c r="O749">
        <f>IF($A749="","",IF($B749&lt;&gt;"",$B749,$O748))</f>
        <v/>
      </c>
    </row>
    <row r="750">
      <c r="N750">
        <f>IF($A750="","",IF(COUNTIFS($A$2:$A750,$A750,$C$2:$C750,$C750)=1,1,0))</f>
        <v/>
      </c>
      <c r="O750">
        <f>IF($A750="","",IF($B750&lt;&gt;"",$B750,$O749))</f>
        <v/>
      </c>
    </row>
    <row r="751">
      <c r="N751">
        <f>IF($A751="","",IF(COUNTIFS($A$2:$A751,$A751,$C$2:$C751,$C751)=1,1,0))</f>
        <v/>
      </c>
      <c r="O751">
        <f>IF($A751="","",IF($B751&lt;&gt;"",$B751,$O750))</f>
        <v/>
      </c>
    </row>
    <row r="752">
      <c r="N752">
        <f>IF($A752="","",IF(COUNTIFS($A$2:$A752,$A752,$C$2:$C752,$C752)=1,1,0))</f>
        <v/>
      </c>
      <c r="O752">
        <f>IF($A752="","",IF($B752&lt;&gt;"",$B752,$O751))</f>
        <v/>
      </c>
    </row>
    <row r="753">
      <c r="N753">
        <f>IF($A753="","",IF(COUNTIFS($A$2:$A753,$A753,$C$2:$C753,$C753)=1,1,0))</f>
        <v/>
      </c>
      <c r="O753">
        <f>IF($A753="","",IF($B753&lt;&gt;"",$B753,$O752))</f>
        <v/>
      </c>
    </row>
    <row r="754">
      <c r="N754">
        <f>IF($A754="","",IF(COUNTIFS($A$2:$A754,$A754,$C$2:$C754,$C754)=1,1,0))</f>
        <v/>
      </c>
      <c r="O754">
        <f>IF($A754="","",IF($B754&lt;&gt;"",$B754,$O753))</f>
        <v/>
      </c>
    </row>
    <row r="755">
      <c r="N755">
        <f>IF($A755="","",IF(COUNTIFS($A$2:$A755,$A755,$C$2:$C755,$C755)=1,1,0))</f>
        <v/>
      </c>
      <c r="O755">
        <f>IF($A755="","",IF($B755&lt;&gt;"",$B755,$O754))</f>
        <v/>
      </c>
    </row>
    <row r="756">
      <c r="N756">
        <f>IF($A756="","",IF(COUNTIFS($A$2:$A756,$A756,$C$2:$C756,$C756)=1,1,0))</f>
        <v/>
      </c>
      <c r="O756">
        <f>IF($A756="","",IF($B756&lt;&gt;"",$B756,$O755))</f>
        <v/>
      </c>
    </row>
    <row r="757">
      <c r="N757">
        <f>IF($A757="","",IF(COUNTIFS($A$2:$A757,$A757,$C$2:$C757,$C757)=1,1,0))</f>
        <v/>
      </c>
      <c r="O757">
        <f>IF($A757="","",IF($B757&lt;&gt;"",$B757,$O756))</f>
        <v/>
      </c>
    </row>
    <row r="758">
      <c r="N758">
        <f>IF($A758="","",IF(COUNTIFS($A$2:$A758,$A758,$C$2:$C758,$C758)=1,1,0))</f>
        <v/>
      </c>
      <c r="O758">
        <f>IF($A758="","",IF($B758&lt;&gt;"",$B758,$O757))</f>
        <v/>
      </c>
    </row>
    <row r="759">
      <c r="N759">
        <f>IF($A759="","",IF(COUNTIFS($A$2:$A759,$A759,$C$2:$C759,$C759)=1,1,0))</f>
        <v/>
      </c>
      <c r="O759">
        <f>IF($A759="","",IF($B759&lt;&gt;"",$B759,$O758))</f>
        <v/>
      </c>
    </row>
    <row r="760">
      <c r="N760">
        <f>IF($A760="","",IF(COUNTIFS($A$2:$A760,$A760,$C$2:$C760,$C760)=1,1,0))</f>
        <v/>
      </c>
      <c r="O760">
        <f>IF($A760="","",IF($B760&lt;&gt;"",$B760,$O759))</f>
        <v/>
      </c>
    </row>
    <row r="761">
      <c r="N761">
        <f>IF($A761="","",IF(COUNTIFS($A$2:$A761,$A761,$C$2:$C761,$C761)=1,1,0))</f>
        <v/>
      </c>
      <c r="O761">
        <f>IF($A761="","",IF($B761&lt;&gt;"",$B761,$O760))</f>
        <v/>
      </c>
    </row>
    <row r="762">
      <c r="N762">
        <f>IF($A762="","",IF(COUNTIFS($A$2:$A762,$A762,$C$2:$C762,$C762)=1,1,0))</f>
        <v/>
      </c>
      <c r="O762">
        <f>IF($A762="","",IF($B762&lt;&gt;"",$B762,$O761))</f>
        <v/>
      </c>
    </row>
    <row r="763">
      <c r="N763">
        <f>IF($A763="","",IF(COUNTIFS($A$2:$A763,$A763,$C$2:$C763,$C763)=1,1,0))</f>
        <v/>
      </c>
      <c r="O763">
        <f>IF($A763="","",IF($B763&lt;&gt;"",$B763,$O762))</f>
        <v/>
      </c>
    </row>
    <row r="764">
      <c r="N764">
        <f>IF($A764="","",IF(COUNTIFS($A$2:$A764,$A764,$C$2:$C764,$C764)=1,1,0))</f>
        <v/>
      </c>
      <c r="O764">
        <f>IF($A764="","",IF($B764&lt;&gt;"",$B764,$O763))</f>
        <v/>
      </c>
    </row>
    <row r="765">
      <c r="N765">
        <f>IF($A765="","",IF(COUNTIFS($A$2:$A765,$A765,$C$2:$C765,$C765)=1,1,0))</f>
        <v/>
      </c>
      <c r="O765">
        <f>IF($A765="","",IF($B765&lt;&gt;"",$B765,$O764))</f>
        <v/>
      </c>
    </row>
    <row r="766">
      <c r="N766">
        <f>IF($A766="","",IF(COUNTIFS($A$2:$A766,$A766,$C$2:$C766,$C766)=1,1,0))</f>
        <v/>
      </c>
      <c r="O766">
        <f>IF($A766="","",IF($B766&lt;&gt;"",$B766,$O765))</f>
        <v/>
      </c>
    </row>
    <row r="767">
      <c r="N767">
        <f>IF($A767="","",IF(COUNTIFS($A$2:$A767,$A767,$C$2:$C767,$C767)=1,1,0))</f>
        <v/>
      </c>
      <c r="O767">
        <f>IF($A767="","",IF($B767&lt;&gt;"",$B767,$O766))</f>
        <v/>
      </c>
    </row>
    <row r="768">
      <c r="N768">
        <f>IF($A768="","",IF(COUNTIFS($A$2:$A768,$A768,$C$2:$C768,$C768)=1,1,0))</f>
        <v/>
      </c>
      <c r="O768">
        <f>IF($A768="","",IF($B768&lt;&gt;"",$B768,$O767))</f>
        <v/>
      </c>
    </row>
    <row r="769">
      <c r="N769">
        <f>IF($A769="","",IF(COUNTIFS($A$2:$A769,$A769,$C$2:$C769,$C769)=1,1,0))</f>
        <v/>
      </c>
      <c r="O769">
        <f>IF($A769="","",IF($B769&lt;&gt;"",$B769,$O768))</f>
        <v/>
      </c>
    </row>
    <row r="770">
      <c r="N770">
        <f>IF($A770="","",IF(COUNTIFS($A$2:$A770,$A770,$C$2:$C770,$C770)=1,1,0))</f>
        <v/>
      </c>
      <c r="O770">
        <f>IF($A770="","",IF($B770&lt;&gt;"",$B770,$O769))</f>
        <v/>
      </c>
    </row>
    <row r="771">
      <c r="N771">
        <f>IF($A771="","",IF(COUNTIFS($A$2:$A771,$A771,$C$2:$C771,$C771)=1,1,0))</f>
        <v/>
      </c>
      <c r="O771">
        <f>IF($A771="","",IF($B771&lt;&gt;"",$B771,$O770))</f>
        <v/>
      </c>
    </row>
    <row r="772">
      <c r="N772">
        <f>IF($A772="","",IF(COUNTIFS($A$2:$A772,$A772,$C$2:$C772,$C772)=1,1,0))</f>
        <v/>
      </c>
      <c r="O772">
        <f>IF($A772="","",IF($B772&lt;&gt;"",$B772,$O771))</f>
        <v/>
      </c>
    </row>
    <row r="773">
      <c r="N773">
        <f>IF($A773="","",IF(COUNTIFS($A$2:$A773,$A773,$C$2:$C773,$C773)=1,1,0))</f>
        <v/>
      </c>
      <c r="O773">
        <f>IF($A773="","",IF($B773&lt;&gt;"",$B773,$O772))</f>
        <v/>
      </c>
    </row>
    <row r="774">
      <c r="N774">
        <f>IF($A774="","",IF(COUNTIFS($A$2:$A774,$A774,$C$2:$C774,$C774)=1,1,0))</f>
        <v/>
      </c>
      <c r="O774">
        <f>IF($A774="","",IF($B774&lt;&gt;"",$B774,$O773))</f>
        <v/>
      </c>
    </row>
    <row r="775">
      <c r="N775">
        <f>IF($A775="","",IF(COUNTIFS($A$2:$A775,$A775,$C$2:$C775,$C775)=1,1,0))</f>
        <v/>
      </c>
      <c r="O775">
        <f>IF($A775="","",IF($B775&lt;&gt;"",$B775,$O774))</f>
        <v/>
      </c>
    </row>
    <row r="776">
      <c r="N776">
        <f>IF($A776="","",IF(COUNTIFS($A$2:$A776,$A776,$C$2:$C776,$C776)=1,1,0))</f>
        <v/>
      </c>
      <c r="O776">
        <f>IF($A776="","",IF($B776&lt;&gt;"",$B776,$O775))</f>
        <v/>
      </c>
    </row>
    <row r="777">
      <c r="N777">
        <f>IF($A777="","",IF(COUNTIFS($A$2:$A777,$A777,$C$2:$C777,$C777)=1,1,0))</f>
        <v/>
      </c>
      <c r="O777">
        <f>IF($A777="","",IF($B777&lt;&gt;"",$B777,$O776))</f>
        <v/>
      </c>
    </row>
    <row r="778">
      <c r="N778">
        <f>IF($A778="","",IF(COUNTIFS($A$2:$A778,$A778,$C$2:$C778,$C778)=1,1,0))</f>
        <v/>
      </c>
      <c r="O778">
        <f>IF($A778="","",IF($B778&lt;&gt;"",$B778,$O777))</f>
        <v/>
      </c>
    </row>
    <row r="779">
      <c r="N779">
        <f>IF($A779="","",IF(COUNTIFS($A$2:$A779,$A779,$C$2:$C779,$C779)=1,1,0))</f>
        <v/>
      </c>
      <c r="O779">
        <f>IF($A779="","",IF($B779&lt;&gt;"",$B779,$O778))</f>
        <v/>
      </c>
    </row>
    <row r="780">
      <c r="N780">
        <f>IF($A780="","",IF(COUNTIFS($A$2:$A780,$A780,$C$2:$C780,$C780)=1,1,0))</f>
        <v/>
      </c>
      <c r="O780">
        <f>IF($A780="","",IF($B780&lt;&gt;"",$B780,$O779))</f>
        <v/>
      </c>
    </row>
    <row r="781">
      <c r="N781">
        <f>IF($A781="","",IF(COUNTIFS($A$2:$A781,$A781,$C$2:$C781,$C781)=1,1,0))</f>
        <v/>
      </c>
      <c r="O781">
        <f>IF($A781="","",IF($B781&lt;&gt;"",$B781,$O780))</f>
        <v/>
      </c>
    </row>
    <row r="782">
      <c r="N782">
        <f>IF($A782="","",IF(COUNTIFS($A$2:$A782,$A782,$C$2:$C782,$C782)=1,1,0))</f>
        <v/>
      </c>
      <c r="O782">
        <f>IF($A782="","",IF($B782&lt;&gt;"",$B782,$O781))</f>
        <v/>
      </c>
    </row>
    <row r="783">
      <c r="N783">
        <f>IF($A783="","",IF(COUNTIFS($A$2:$A783,$A783,$C$2:$C783,$C783)=1,1,0))</f>
        <v/>
      </c>
      <c r="O783">
        <f>IF($A783="","",IF($B783&lt;&gt;"",$B783,$O782))</f>
        <v/>
      </c>
    </row>
    <row r="784">
      <c r="N784">
        <f>IF($A784="","",IF(COUNTIFS($A$2:$A784,$A784,$C$2:$C784,$C784)=1,1,0))</f>
        <v/>
      </c>
      <c r="O784">
        <f>IF($A784="","",IF($B784&lt;&gt;"",$B784,$O783))</f>
        <v/>
      </c>
    </row>
    <row r="785">
      <c r="N785">
        <f>IF($A785="","",IF(COUNTIFS($A$2:$A785,$A785,$C$2:$C785,$C785)=1,1,0))</f>
        <v/>
      </c>
      <c r="O785">
        <f>IF($A785="","",IF($B785&lt;&gt;"",$B785,$O784))</f>
        <v/>
      </c>
    </row>
    <row r="786">
      <c r="N786">
        <f>IF($A786="","",IF(COUNTIFS($A$2:$A786,$A786,$C$2:$C786,$C786)=1,1,0))</f>
        <v/>
      </c>
      <c r="O786">
        <f>IF($A786="","",IF($B786&lt;&gt;"",$B786,$O785))</f>
        <v/>
      </c>
    </row>
    <row r="787">
      <c r="N787">
        <f>IF($A787="","",IF(COUNTIFS($A$2:$A787,$A787,$C$2:$C787,$C787)=1,1,0))</f>
        <v/>
      </c>
      <c r="O787">
        <f>IF($A787="","",IF($B787&lt;&gt;"",$B787,$O786))</f>
        <v/>
      </c>
    </row>
    <row r="788">
      <c r="N788">
        <f>IF($A788="","",IF(COUNTIFS($A$2:$A788,$A788,$C$2:$C788,$C788)=1,1,0))</f>
        <v/>
      </c>
      <c r="O788">
        <f>IF($A788="","",IF($B788&lt;&gt;"",$B788,$O787))</f>
        <v/>
      </c>
    </row>
    <row r="789">
      <c r="N789">
        <f>IF($A789="","",IF(COUNTIFS($A$2:$A789,$A789,$C$2:$C789,$C789)=1,1,0))</f>
        <v/>
      </c>
      <c r="O789">
        <f>IF($A789="","",IF($B789&lt;&gt;"",$B789,$O788))</f>
        <v/>
      </c>
    </row>
    <row r="790">
      <c r="N790">
        <f>IF($A790="","",IF(COUNTIFS($A$2:$A790,$A790,$C$2:$C790,$C790)=1,1,0))</f>
        <v/>
      </c>
      <c r="O790">
        <f>IF($A790="","",IF($B790&lt;&gt;"",$B790,$O789))</f>
        <v/>
      </c>
    </row>
    <row r="791">
      <c r="N791">
        <f>IF($A791="","",IF(COUNTIFS($A$2:$A791,$A791,$C$2:$C791,$C791)=1,1,0))</f>
        <v/>
      </c>
      <c r="O791">
        <f>IF($A791="","",IF($B791&lt;&gt;"",$B791,$O790))</f>
        <v/>
      </c>
    </row>
    <row r="792">
      <c r="N792">
        <f>IF($A792="","",IF(COUNTIFS($A$2:$A792,$A792,$C$2:$C792,$C792)=1,1,0))</f>
        <v/>
      </c>
      <c r="O792">
        <f>IF($A792="","",IF($B792&lt;&gt;"",$B792,$O791))</f>
        <v/>
      </c>
    </row>
    <row r="793">
      <c r="N793">
        <f>IF($A793="","",IF(COUNTIFS($A$2:$A793,$A793,$C$2:$C793,$C793)=1,1,0))</f>
        <v/>
      </c>
      <c r="O793">
        <f>IF($A793="","",IF($B793&lt;&gt;"",$B793,$O792))</f>
        <v/>
      </c>
    </row>
    <row r="794">
      <c r="N794">
        <f>IF($A794="","",IF(COUNTIFS($A$2:$A794,$A794,$C$2:$C794,$C794)=1,1,0))</f>
        <v/>
      </c>
      <c r="O794">
        <f>IF($A794="","",IF($B794&lt;&gt;"",$B794,$O793))</f>
        <v/>
      </c>
    </row>
    <row r="795">
      <c r="N795">
        <f>IF($A795="","",IF(COUNTIFS($A$2:$A795,$A795,$C$2:$C795,$C795)=1,1,0))</f>
        <v/>
      </c>
      <c r="O795">
        <f>IF($A795="","",IF($B795&lt;&gt;"",$B795,$O794))</f>
        <v/>
      </c>
    </row>
    <row r="796">
      <c r="N796">
        <f>IF($A796="","",IF(COUNTIFS($A$2:$A796,$A796,$C$2:$C796,$C796)=1,1,0))</f>
        <v/>
      </c>
      <c r="O796">
        <f>IF($A796="","",IF($B796&lt;&gt;"",$B796,$O795))</f>
        <v/>
      </c>
    </row>
    <row r="797">
      <c r="N797">
        <f>IF($A797="","",IF(COUNTIFS($A$2:$A797,$A797,$C$2:$C797,$C797)=1,1,0))</f>
        <v/>
      </c>
      <c r="O797">
        <f>IF($A797="","",IF($B797&lt;&gt;"",$B797,$O796))</f>
        <v/>
      </c>
    </row>
    <row r="798">
      <c r="N798">
        <f>IF($A798="","",IF(COUNTIFS($A$2:$A798,$A798,$C$2:$C798,$C798)=1,1,0))</f>
        <v/>
      </c>
      <c r="O798">
        <f>IF($A798="","",IF($B798&lt;&gt;"",$B798,$O797))</f>
        <v/>
      </c>
    </row>
    <row r="799">
      <c r="N799">
        <f>IF($A799="","",IF(COUNTIFS($A$2:$A799,$A799,$C$2:$C799,$C799)=1,1,0))</f>
        <v/>
      </c>
      <c r="O799">
        <f>IF($A799="","",IF($B799&lt;&gt;"",$B799,$O798))</f>
        <v/>
      </c>
    </row>
    <row r="800">
      <c r="N800">
        <f>IF($A800="","",IF(COUNTIFS($A$2:$A800,$A800,$C$2:$C800,$C800)=1,1,0))</f>
        <v/>
      </c>
      <c r="O800">
        <f>IF($A800="","",IF($B800&lt;&gt;"",$B800,$O799))</f>
        <v/>
      </c>
    </row>
    <row r="801">
      <c r="N801">
        <f>IF($A801="","",IF(COUNTIFS($A$2:$A801,$A801,$C$2:$C801,$C801)=1,1,0))</f>
        <v/>
      </c>
      <c r="O801">
        <f>IF($A801="","",IF($B801&lt;&gt;"",$B801,$O800))</f>
        <v/>
      </c>
    </row>
    <row r="802">
      <c r="N802">
        <f>IF($A802="","",IF(COUNTIFS($A$2:$A802,$A802,$C$2:$C802,$C802)=1,1,0))</f>
        <v/>
      </c>
      <c r="O802">
        <f>IF($A802="","",IF($B802&lt;&gt;"",$B802,$O801))</f>
        <v/>
      </c>
    </row>
    <row r="803">
      <c r="N803">
        <f>IF($A803="","",IF(COUNTIFS($A$2:$A803,$A803,$C$2:$C803,$C803)=1,1,0))</f>
        <v/>
      </c>
      <c r="O803">
        <f>IF($A803="","",IF($B803&lt;&gt;"",$B803,$O802))</f>
        <v/>
      </c>
    </row>
    <row r="804">
      <c r="N804">
        <f>IF($A804="","",IF(COUNTIFS($A$2:$A804,$A804,$C$2:$C804,$C804)=1,1,0))</f>
        <v/>
      </c>
      <c r="O804">
        <f>IF($A804="","",IF($B804&lt;&gt;"",$B804,$O803))</f>
        <v/>
      </c>
    </row>
    <row r="805">
      <c r="N805">
        <f>IF($A805="","",IF(COUNTIFS($A$2:$A805,$A805,$C$2:$C805,$C805)=1,1,0))</f>
        <v/>
      </c>
      <c r="O805">
        <f>IF($A805="","",IF($B805&lt;&gt;"",$B805,$O804))</f>
        <v/>
      </c>
    </row>
    <row r="806">
      <c r="N806">
        <f>IF($A806="","",IF(COUNTIFS($A$2:$A806,$A806,$C$2:$C806,$C806)=1,1,0))</f>
        <v/>
      </c>
      <c r="O806">
        <f>IF($A806="","",IF($B806&lt;&gt;"",$B806,$O805))</f>
        <v/>
      </c>
    </row>
    <row r="807">
      <c r="N807">
        <f>IF($A807="","",IF(COUNTIFS($A$2:$A807,$A807,$C$2:$C807,$C807)=1,1,0))</f>
        <v/>
      </c>
      <c r="O807">
        <f>IF($A807="","",IF($B807&lt;&gt;"",$B807,$O806))</f>
        <v/>
      </c>
    </row>
    <row r="808">
      <c r="N808">
        <f>IF($A808="","",IF(COUNTIFS($A$2:$A808,$A808,$C$2:$C808,$C808)=1,1,0))</f>
        <v/>
      </c>
      <c r="O808">
        <f>IF($A808="","",IF($B808&lt;&gt;"",$B808,$O807))</f>
        <v/>
      </c>
    </row>
    <row r="809">
      <c r="N809">
        <f>IF($A809="","",IF(COUNTIFS($A$2:$A809,$A809,$C$2:$C809,$C809)=1,1,0))</f>
        <v/>
      </c>
      <c r="O809">
        <f>IF($A809="","",IF($B809&lt;&gt;"",$B809,$O808))</f>
        <v/>
      </c>
    </row>
    <row r="810">
      <c r="N810">
        <f>IF($A810="","",IF(COUNTIFS($A$2:$A810,$A810,$C$2:$C810,$C810)=1,1,0))</f>
        <v/>
      </c>
      <c r="O810">
        <f>IF($A810="","",IF($B810&lt;&gt;"",$B810,$O809))</f>
        <v/>
      </c>
    </row>
    <row r="811">
      <c r="N811">
        <f>IF($A811="","",IF(COUNTIFS($A$2:$A811,$A811,$C$2:$C811,$C811)=1,1,0))</f>
        <v/>
      </c>
      <c r="O811">
        <f>IF($A811="","",IF($B811&lt;&gt;"",$B811,$O810))</f>
        <v/>
      </c>
    </row>
    <row r="812">
      <c r="N812">
        <f>IF($A812="","",IF(COUNTIFS($A$2:$A812,$A812,$C$2:$C812,$C812)=1,1,0))</f>
        <v/>
      </c>
      <c r="O812">
        <f>IF($A812="","",IF($B812&lt;&gt;"",$B812,$O811))</f>
        <v/>
      </c>
    </row>
    <row r="813">
      <c r="N813">
        <f>IF($A813="","",IF(COUNTIFS($A$2:$A813,$A813,$C$2:$C813,$C813)=1,1,0))</f>
        <v/>
      </c>
      <c r="O813">
        <f>IF($A813="","",IF($B813&lt;&gt;"",$B813,$O812))</f>
        <v/>
      </c>
    </row>
    <row r="814">
      <c r="N814">
        <f>IF($A814="","",IF(COUNTIFS($A$2:$A814,$A814,$C$2:$C814,$C814)=1,1,0))</f>
        <v/>
      </c>
      <c r="O814">
        <f>IF($A814="","",IF($B814&lt;&gt;"",$B814,$O813))</f>
        <v/>
      </c>
    </row>
    <row r="815">
      <c r="N815">
        <f>IF($A815="","",IF(COUNTIFS($A$2:$A815,$A815,$C$2:$C815,$C815)=1,1,0))</f>
        <v/>
      </c>
      <c r="O815">
        <f>IF($A815="","",IF($B815&lt;&gt;"",$B815,$O814))</f>
        <v/>
      </c>
    </row>
    <row r="816">
      <c r="N816">
        <f>IF($A816="","",IF(COUNTIFS($A$2:$A816,$A816,$C$2:$C816,$C816)=1,1,0))</f>
        <v/>
      </c>
      <c r="O816">
        <f>IF($A816="","",IF($B816&lt;&gt;"",$B816,$O815))</f>
        <v/>
      </c>
    </row>
    <row r="817">
      <c r="N817">
        <f>IF($A817="","",IF(COUNTIFS($A$2:$A817,$A817,$C$2:$C817,$C817)=1,1,0))</f>
        <v/>
      </c>
      <c r="O817">
        <f>IF($A817="","",IF($B817&lt;&gt;"",$B817,$O816))</f>
        <v/>
      </c>
    </row>
    <row r="818">
      <c r="N818">
        <f>IF($A818="","",IF(COUNTIFS($A$2:$A818,$A818,$C$2:$C818,$C818)=1,1,0))</f>
        <v/>
      </c>
      <c r="O818">
        <f>IF($A818="","",IF($B818&lt;&gt;"",$B818,$O817))</f>
        <v/>
      </c>
    </row>
    <row r="819">
      <c r="N819">
        <f>IF($A819="","",IF(COUNTIFS($A$2:$A819,$A819,$C$2:$C819,$C819)=1,1,0))</f>
        <v/>
      </c>
      <c r="O819">
        <f>IF($A819="","",IF($B819&lt;&gt;"",$B819,$O818))</f>
        <v/>
      </c>
    </row>
    <row r="820">
      <c r="N820">
        <f>IF($A820="","",IF(COUNTIFS($A$2:$A820,$A820,$C$2:$C820,$C820)=1,1,0))</f>
        <v/>
      </c>
      <c r="O820">
        <f>IF($A820="","",IF($B820&lt;&gt;"",$B820,$O819))</f>
        <v/>
      </c>
    </row>
    <row r="821">
      <c r="N821">
        <f>IF($A821="","",IF(COUNTIFS($A$2:$A821,$A821,$C$2:$C821,$C821)=1,1,0))</f>
        <v/>
      </c>
      <c r="O821">
        <f>IF($A821="","",IF($B821&lt;&gt;"",$B821,$O820))</f>
        <v/>
      </c>
    </row>
    <row r="822">
      <c r="N822">
        <f>IF($A822="","",IF(COUNTIFS($A$2:$A822,$A822,$C$2:$C822,$C822)=1,1,0))</f>
        <v/>
      </c>
      <c r="O822">
        <f>IF($A822="","",IF($B822&lt;&gt;"",$B822,$O821))</f>
        <v/>
      </c>
    </row>
    <row r="823">
      <c r="N823">
        <f>IF($A823="","",IF(COUNTIFS($A$2:$A823,$A823,$C$2:$C823,$C823)=1,1,0))</f>
        <v/>
      </c>
      <c r="O823">
        <f>IF($A823="","",IF($B823&lt;&gt;"",$B823,$O822))</f>
        <v/>
      </c>
    </row>
    <row r="824">
      <c r="N824">
        <f>IF($A824="","",IF(COUNTIFS($A$2:$A824,$A824,$C$2:$C824,$C824)=1,1,0))</f>
        <v/>
      </c>
      <c r="O824">
        <f>IF($A824="","",IF($B824&lt;&gt;"",$B824,$O823))</f>
        <v/>
      </c>
    </row>
    <row r="825">
      <c r="N825">
        <f>IF($A825="","",IF(COUNTIFS($A$2:$A825,$A825,$C$2:$C825,$C825)=1,1,0))</f>
        <v/>
      </c>
      <c r="O825">
        <f>IF($A825="","",IF($B825&lt;&gt;"",$B825,$O824))</f>
        <v/>
      </c>
    </row>
    <row r="826">
      <c r="N826">
        <f>IF($A826="","",IF(COUNTIFS($A$2:$A826,$A826,$C$2:$C826,$C826)=1,1,0))</f>
        <v/>
      </c>
      <c r="O826">
        <f>IF($A826="","",IF($B826&lt;&gt;"",$B826,$O825))</f>
        <v/>
      </c>
    </row>
    <row r="827">
      <c r="N827">
        <f>IF($A827="","",IF(COUNTIFS($A$2:$A827,$A827,$C$2:$C827,$C827)=1,1,0))</f>
        <v/>
      </c>
      <c r="O827">
        <f>IF($A827="","",IF($B827&lt;&gt;"",$B827,$O826))</f>
        <v/>
      </c>
    </row>
    <row r="828">
      <c r="N828">
        <f>IF($A828="","",IF(COUNTIFS($A$2:$A828,$A828,$C$2:$C828,$C828)=1,1,0))</f>
        <v/>
      </c>
      <c r="O828">
        <f>IF($A828="","",IF($B828&lt;&gt;"",$B828,$O827))</f>
        <v/>
      </c>
    </row>
    <row r="829">
      <c r="N829">
        <f>IF($A829="","",IF(COUNTIFS($A$2:$A829,$A829,$C$2:$C829,$C829)=1,1,0))</f>
        <v/>
      </c>
      <c r="O829">
        <f>IF($A829="","",IF($B829&lt;&gt;"",$B829,$O828))</f>
        <v/>
      </c>
    </row>
    <row r="830">
      <c r="N830">
        <f>IF($A830="","",IF(COUNTIFS($A$2:$A830,$A830,$C$2:$C830,$C830)=1,1,0))</f>
        <v/>
      </c>
      <c r="O830">
        <f>IF($A830="","",IF($B830&lt;&gt;"",$B830,$O829))</f>
        <v/>
      </c>
    </row>
    <row r="831">
      <c r="N831">
        <f>IF($A831="","",IF(COUNTIFS($A$2:$A831,$A831,$C$2:$C831,$C831)=1,1,0))</f>
        <v/>
      </c>
      <c r="O831">
        <f>IF($A831="","",IF($B831&lt;&gt;"",$B831,$O830))</f>
        <v/>
      </c>
    </row>
    <row r="832">
      <c r="N832">
        <f>IF($A832="","",IF(COUNTIFS($A$2:$A832,$A832,$C$2:$C832,$C832)=1,1,0))</f>
        <v/>
      </c>
      <c r="O832">
        <f>IF($A832="","",IF($B832&lt;&gt;"",$B832,$O831))</f>
        <v/>
      </c>
    </row>
    <row r="833">
      <c r="N833">
        <f>IF($A833="","",IF(COUNTIFS($A$2:$A833,$A833,$C$2:$C833,$C833)=1,1,0))</f>
        <v/>
      </c>
      <c r="O833">
        <f>IF($A833="","",IF($B833&lt;&gt;"",$B833,$O832))</f>
        <v/>
      </c>
    </row>
    <row r="834">
      <c r="N834">
        <f>IF($A834="","",IF(COUNTIFS($A$2:$A834,$A834,$C$2:$C834,$C834)=1,1,0))</f>
        <v/>
      </c>
      <c r="O834">
        <f>IF($A834="","",IF($B834&lt;&gt;"",$B834,$O833))</f>
        <v/>
      </c>
    </row>
    <row r="835">
      <c r="N835">
        <f>IF($A835="","",IF(COUNTIFS($A$2:$A835,$A835,$C$2:$C835,$C835)=1,1,0))</f>
        <v/>
      </c>
      <c r="O835">
        <f>IF($A835="","",IF($B835&lt;&gt;"",$B835,$O834))</f>
        <v/>
      </c>
    </row>
    <row r="836">
      <c r="N836">
        <f>IF($A836="","",IF(COUNTIFS($A$2:$A836,$A836,$C$2:$C836,$C836)=1,1,0))</f>
        <v/>
      </c>
      <c r="O836">
        <f>IF($A836="","",IF($B836&lt;&gt;"",$B836,$O835))</f>
        <v/>
      </c>
    </row>
    <row r="837">
      <c r="N837">
        <f>IF($A837="","",IF(COUNTIFS($A$2:$A837,$A837,$C$2:$C837,$C837)=1,1,0))</f>
        <v/>
      </c>
      <c r="O837">
        <f>IF($A837="","",IF($B837&lt;&gt;"",$B837,$O836))</f>
        <v/>
      </c>
    </row>
    <row r="838">
      <c r="N838">
        <f>IF($A838="","",IF(COUNTIFS($A$2:$A838,$A838,$C$2:$C838,$C838)=1,1,0))</f>
        <v/>
      </c>
      <c r="O838">
        <f>IF($A838="","",IF($B838&lt;&gt;"",$B838,$O837))</f>
        <v/>
      </c>
    </row>
    <row r="839">
      <c r="N839">
        <f>IF($A839="","",IF(COUNTIFS($A$2:$A839,$A839,$C$2:$C839,$C839)=1,1,0))</f>
        <v/>
      </c>
      <c r="O839">
        <f>IF($A839="","",IF($B839&lt;&gt;"",$B839,$O838))</f>
        <v/>
      </c>
    </row>
    <row r="840">
      <c r="N840">
        <f>IF($A840="","",IF(COUNTIFS($A$2:$A840,$A840,$C$2:$C840,$C840)=1,1,0))</f>
        <v/>
      </c>
      <c r="O840">
        <f>IF($A840="","",IF($B840&lt;&gt;"",$B840,$O839))</f>
        <v/>
      </c>
    </row>
    <row r="841">
      <c r="N841">
        <f>IF($A841="","",IF(COUNTIFS($A$2:$A841,$A841,$C$2:$C841,$C841)=1,1,0))</f>
        <v/>
      </c>
      <c r="O841">
        <f>IF($A841="","",IF($B841&lt;&gt;"",$B841,$O840))</f>
        <v/>
      </c>
    </row>
    <row r="842">
      <c r="N842">
        <f>IF($A842="","",IF(COUNTIFS($A$2:$A842,$A842,$C$2:$C842,$C842)=1,1,0))</f>
        <v/>
      </c>
      <c r="O842">
        <f>IF($A842="","",IF($B842&lt;&gt;"",$B842,$O841))</f>
        <v/>
      </c>
    </row>
    <row r="843">
      <c r="N843">
        <f>IF($A843="","",IF(COUNTIFS($A$2:$A843,$A843,$C$2:$C843,$C843)=1,1,0))</f>
        <v/>
      </c>
      <c r="O843">
        <f>IF($A843="","",IF($B843&lt;&gt;"",$B843,$O842))</f>
        <v/>
      </c>
    </row>
    <row r="844">
      <c r="N844">
        <f>IF($A844="","",IF(COUNTIFS($A$2:$A844,$A844,$C$2:$C844,$C844)=1,1,0))</f>
        <v/>
      </c>
      <c r="O844">
        <f>IF($A844="","",IF($B844&lt;&gt;"",$B844,$O843))</f>
        <v/>
      </c>
    </row>
    <row r="845">
      <c r="N845">
        <f>IF($A845="","",IF(COUNTIFS($A$2:$A845,$A845,$C$2:$C845,$C845)=1,1,0))</f>
        <v/>
      </c>
      <c r="O845">
        <f>IF($A845="","",IF($B845&lt;&gt;"",$B845,$O844))</f>
        <v/>
      </c>
    </row>
    <row r="846">
      <c r="N846">
        <f>IF($A846="","",IF(COUNTIFS($A$2:$A846,$A846,$C$2:$C846,$C846)=1,1,0))</f>
        <v/>
      </c>
      <c r="O846">
        <f>IF($A846="","",IF($B846&lt;&gt;"",$B846,$O845))</f>
        <v/>
      </c>
    </row>
    <row r="847">
      <c r="N847">
        <f>IF($A847="","",IF(COUNTIFS($A$2:$A847,$A847,$C$2:$C847,$C847)=1,1,0))</f>
        <v/>
      </c>
      <c r="O847">
        <f>IF($A847="","",IF($B847&lt;&gt;"",$B847,$O846))</f>
        <v/>
      </c>
    </row>
    <row r="848">
      <c r="N848">
        <f>IF($A848="","",IF(COUNTIFS($A$2:$A848,$A848,$C$2:$C848,$C848)=1,1,0))</f>
        <v/>
      </c>
      <c r="O848">
        <f>IF($A848="","",IF($B848&lt;&gt;"",$B848,$O847))</f>
        <v/>
      </c>
    </row>
    <row r="849">
      <c r="N849">
        <f>IF($A849="","",IF(COUNTIFS($A$2:$A849,$A849,$C$2:$C849,$C849)=1,1,0))</f>
        <v/>
      </c>
      <c r="O849">
        <f>IF($A849="","",IF($B849&lt;&gt;"",$B849,$O848))</f>
        <v/>
      </c>
    </row>
    <row r="850">
      <c r="N850">
        <f>IF($A850="","",IF(COUNTIFS($A$2:$A850,$A850,$C$2:$C850,$C850)=1,1,0))</f>
        <v/>
      </c>
      <c r="O850">
        <f>IF($A850="","",IF($B850&lt;&gt;"",$B850,$O849))</f>
        <v/>
      </c>
    </row>
    <row r="851">
      <c r="N851">
        <f>IF($A851="","",IF(COUNTIFS($A$2:$A851,$A851,$C$2:$C851,$C851)=1,1,0))</f>
        <v/>
      </c>
      <c r="O851">
        <f>IF($A851="","",IF($B851&lt;&gt;"",$B851,$O850))</f>
        <v/>
      </c>
    </row>
    <row r="852">
      <c r="N852">
        <f>IF($A852="","",IF(COUNTIFS($A$2:$A852,$A852,$C$2:$C852,$C852)=1,1,0))</f>
        <v/>
      </c>
      <c r="O852">
        <f>IF($A852="","",IF($B852&lt;&gt;"",$B852,$O851))</f>
        <v/>
      </c>
    </row>
    <row r="853">
      <c r="N853">
        <f>IF($A853="","",IF(COUNTIFS($A$2:$A853,$A853,$C$2:$C853,$C853)=1,1,0))</f>
        <v/>
      </c>
      <c r="O853">
        <f>IF($A853="","",IF($B853&lt;&gt;"",$B853,$O852))</f>
        <v/>
      </c>
    </row>
    <row r="854">
      <c r="N854">
        <f>IF($A854="","",IF(COUNTIFS($A$2:$A854,$A854,$C$2:$C854,$C854)=1,1,0))</f>
        <v/>
      </c>
      <c r="O854">
        <f>IF($A854="","",IF($B854&lt;&gt;"",$B854,$O853))</f>
        <v/>
      </c>
    </row>
    <row r="855">
      <c r="N855">
        <f>IF($A855="","",IF(COUNTIFS($A$2:$A855,$A855,$C$2:$C855,$C855)=1,1,0))</f>
        <v/>
      </c>
      <c r="O855">
        <f>IF($A855="","",IF($B855&lt;&gt;"",$B855,$O854))</f>
        <v/>
      </c>
    </row>
    <row r="856">
      <c r="N856">
        <f>IF($A856="","",IF(COUNTIFS($A$2:$A856,$A856,$C$2:$C856,$C856)=1,1,0))</f>
        <v/>
      </c>
      <c r="O856">
        <f>IF($A856="","",IF($B856&lt;&gt;"",$B856,$O855))</f>
        <v/>
      </c>
    </row>
    <row r="857">
      <c r="N857">
        <f>IF($A857="","",IF(COUNTIFS($A$2:$A857,$A857,$C$2:$C857,$C857)=1,1,0))</f>
        <v/>
      </c>
      <c r="O857">
        <f>IF($A857="","",IF($B857&lt;&gt;"",$B857,$O856))</f>
        <v/>
      </c>
    </row>
    <row r="858">
      <c r="N858">
        <f>IF($A858="","",IF(COUNTIFS($A$2:$A858,$A858,$C$2:$C858,$C858)=1,1,0))</f>
        <v/>
      </c>
      <c r="O858">
        <f>IF($A858="","",IF($B858&lt;&gt;"",$B858,$O857))</f>
        <v/>
      </c>
    </row>
    <row r="859">
      <c r="N859">
        <f>IF($A859="","",IF(COUNTIFS($A$2:$A859,$A859,$C$2:$C859,$C859)=1,1,0))</f>
        <v/>
      </c>
      <c r="O859">
        <f>IF($A859="","",IF($B859&lt;&gt;"",$B859,$O858))</f>
        <v/>
      </c>
    </row>
    <row r="860">
      <c r="N860">
        <f>IF($A860="","",IF(COUNTIFS($A$2:$A860,$A860,$C$2:$C860,$C860)=1,1,0))</f>
        <v/>
      </c>
      <c r="O860">
        <f>IF($A860="","",IF($B860&lt;&gt;"",$B860,$O859))</f>
        <v/>
      </c>
    </row>
    <row r="861">
      <c r="N861">
        <f>IF($A861="","",IF(COUNTIFS($A$2:$A861,$A861,$C$2:$C861,$C861)=1,1,0))</f>
        <v/>
      </c>
      <c r="O861">
        <f>IF($A861="","",IF($B861&lt;&gt;"",$B861,$O860))</f>
        <v/>
      </c>
    </row>
    <row r="862">
      <c r="N862">
        <f>IF($A862="","",IF(COUNTIFS($A$2:$A862,$A862,$C$2:$C862,$C862)=1,1,0))</f>
        <v/>
      </c>
      <c r="O862">
        <f>IF($A862="","",IF($B862&lt;&gt;"",$B862,$O861))</f>
        <v/>
      </c>
    </row>
    <row r="863">
      <c r="N863">
        <f>IF($A863="","",IF(COUNTIFS($A$2:$A863,$A863,$C$2:$C863,$C863)=1,1,0))</f>
        <v/>
      </c>
      <c r="O863">
        <f>IF($A863="","",IF($B863&lt;&gt;"",$B863,$O862))</f>
        <v/>
      </c>
    </row>
    <row r="864">
      <c r="N864">
        <f>IF($A864="","",IF(COUNTIFS($A$2:$A864,$A864,$C$2:$C864,$C864)=1,1,0))</f>
        <v/>
      </c>
      <c r="O864">
        <f>IF($A864="","",IF($B864&lt;&gt;"",$B864,$O863))</f>
        <v/>
      </c>
    </row>
    <row r="865">
      <c r="N865">
        <f>IF($A865="","",IF(COUNTIFS($A$2:$A865,$A865,$C$2:$C865,$C865)=1,1,0))</f>
        <v/>
      </c>
      <c r="O865">
        <f>IF($A865="","",IF($B865&lt;&gt;"",$B865,$O864))</f>
        <v/>
      </c>
    </row>
    <row r="866">
      <c r="N866">
        <f>IF($A866="","",IF(COUNTIFS($A$2:$A866,$A866,$C$2:$C866,$C866)=1,1,0))</f>
        <v/>
      </c>
      <c r="O866">
        <f>IF($A866="","",IF($B866&lt;&gt;"",$B866,$O865))</f>
        <v/>
      </c>
    </row>
    <row r="867">
      <c r="N867">
        <f>IF($A867="","",IF(COUNTIFS($A$2:$A867,$A867,$C$2:$C867,$C867)=1,1,0))</f>
        <v/>
      </c>
      <c r="O867">
        <f>IF($A867="","",IF($B867&lt;&gt;"",$B867,$O866))</f>
        <v/>
      </c>
    </row>
    <row r="868">
      <c r="N868">
        <f>IF($A868="","",IF(COUNTIFS($A$2:$A868,$A868,$C$2:$C868,$C868)=1,1,0))</f>
        <v/>
      </c>
      <c r="O868">
        <f>IF($A868="","",IF($B868&lt;&gt;"",$B868,$O867))</f>
        <v/>
      </c>
    </row>
    <row r="869">
      <c r="N869">
        <f>IF($A869="","",IF(COUNTIFS($A$2:$A869,$A869,$C$2:$C869,$C869)=1,1,0))</f>
        <v/>
      </c>
      <c r="O869">
        <f>IF($A869="","",IF($B869&lt;&gt;"",$B869,$O868))</f>
        <v/>
      </c>
    </row>
    <row r="870">
      <c r="N870">
        <f>IF($A870="","",IF(COUNTIFS($A$2:$A870,$A870,$C$2:$C870,$C870)=1,1,0))</f>
        <v/>
      </c>
      <c r="O870">
        <f>IF($A870="","",IF($B870&lt;&gt;"",$B870,$O869))</f>
        <v/>
      </c>
    </row>
    <row r="871">
      <c r="N871">
        <f>IF($A871="","",IF(COUNTIFS($A$2:$A871,$A871,$C$2:$C871,$C871)=1,1,0))</f>
        <v/>
      </c>
      <c r="O871">
        <f>IF($A871="","",IF($B871&lt;&gt;"",$B871,$O870))</f>
        <v/>
      </c>
    </row>
    <row r="872">
      <c r="N872">
        <f>IF($A872="","",IF(COUNTIFS($A$2:$A872,$A872,$C$2:$C872,$C872)=1,1,0))</f>
        <v/>
      </c>
      <c r="O872">
        <f>IF($A872="","",IF($B872&lt;&gt;"",$B872,$O871))</f>
        <v/>
      </c>
    </row>
    <row r="873">
      <c r="N873">
        <f>IF($A873="","",IF(COUNTIFS($A$2:$A873,$A873,$C$2:$C873,$C873)=1,1,0))</f>
        <v/>
      </c>
      <c r="O873">
        <f>IF($A873="","",IF($B873&lt;&gt;"",$B873,$O872))</f>
        <v/>
      </c>
    </row>
    <row r="874">
      <c r="N874">
        <f>IF($A874="","",IF(COUNTIFS($A$2:$A874,$A874,$C$2:$C874,$C874)=1,1,0))</f>
        <v/>
      </c>
      <c r="O874">
        <f>IF($A874="","",IF($B874&lt;&gt;"",$B874,$O873))</f>
        <v/>
      </c>
    </row>
    <row r="875">
      <c r="N875">
        <f>IF($A875="","",IF(COUNTIFS($A$2:$A875,$A875,$C$2:$C875,$C875)=1,1,0))</f>
        <v/>
      </c>
      <c r="O875">
        <f>IF($A875="","",IF($B875&lt;&gt;"",$B875,$O874))</f>
        <v/>
      </c>
    </row>
    <row r="876">
      <c r="N876">
        <f>IF($A876="","",IF(COUNTIFS($A$2:$A876,$A876,$C$2:$C876,$C876)=1,1,0))</f>
        <v/>
      </c>
      <c r="O876">
        <f>IF($A876="","",IF($B876&lt;&gt;"",$B876,$O875))</f>
        <v/>
      </c>
    </row>
    <row r="877">
      <c r="N877">
        <f>IF($A877="","",IF(COUNTIFS($A$2:$A877,$A877,$C$2:$C877,$C877)=1,1,0))</f>
        <v/>
      </c>
      <c r="O877">
        <f>IF($A877="","",IF($B877&lt;&gt;"",$B877,$O876))</f>
        <v/>
      </c>
    </row>
    <row r="878">
      <c r="N878">
        <f>IF($A878="","",IF(COUNTIFS($A$2:$A878,$A878,$C$2:$C878,$C878)=1,1,0))</f>
        <v/>
      </c>
      <c r="O878">
        <f>IF($A878="","",IF($B878&lt;&gt;"",$B878,$O877))</f>
        <v/>
      </c>
    </row>
    <row r="879">
      <c r="N879">
        <f>IF($A879="","",IF(COUNTIFS($A$2:$A879,$A879,$C$2:$C879,$C879)=1,1,0))</f>
        <v/>
      </c>
      <c r="O879">
        <f>IF($A879="","",IF($B879&lt;&gt;"",$B879,$O878))</f>
        <v/>
      </c>
    </row>
    <row r="880">
      <c r="N880">
        <f>IF($A880="","",IF(COUNTIFS($A$2:$A880,$A880,$C$2:$C880,$C880)=1,1,0))</f>
        <v/>
      </c>
      <c r="O880">
        <f>IF($A880="","",IF($B880&lt;&gt;"",$B880,$O879))</f>
        <v/>
      </c>
    </row>
    <row r="881">
      <c r="N881">
        <f>IF($A881="","",IF(COUNTIFS($A$2:$A881,$A881,$C$2:$C881,$C881)=1,1,0))</f>
        <v/>
      </c>
      <c r="O881">
        <f>IF($A881="","",IF($B881&lt;&gt;"",$B881,$O880))</f>
        <v/>
      </c>
    </row>
    <row r="882">
      <c r="N882">
        <f>IF($A882="","",IF(COUNTIFS($A$2:$A882,$A882,$C$2:$C882,$C882)=1,1,0))</f>
        <v/>
      </c>
      <c r="O882">
        <f>IF($A882="","",IF($B882&lt;&gt;"",$B882,$O881))</f>
        <v/>
      </c>
    </row>
    <row r="883">
      <c r="N883">
        <f>IF($A883="","",IF(COUNTIFS($A$2:$A883,$A883,$C$2:$C883,$C883)=1,1,0))</f>
        <v/>
      </c>
      <c r="O883">
        <f>IF($A883="","",IF($B883&lt;&gt;"",$B883,$O882))</f>
        <v/>
      </c>
    </row>
    <row r="884">
      <c r="N884">
        <f>IF($A884="","",IF(COUNTIFS($A$2:$A884,$A884,$C$2:$C884,$C884)=1,1,0))</f>
        <v/>
      </c>
      <c r="O884">
        <f>IF($A884="","",IF($B884&lt;&gt;"",$B884,$O883))</f>
        <v/>
      </c>
    </row>
    <row r="885">
      <c r="N885">
        <f>IF($A885="","",IF(COUNTIFS($A$2:$A885,$A885,$C$2:$C885,$C885)=1,1,0))</f>
        <v/>
      </c>
      <c r="O885">
        <f>IF($A885="","",IF($B885&lt;&gt;"",$B885,$O884))</f>
        <v/>
      </c>
    </row>
    <row r="886">
      <c r="N886">
        <f>IF($A886="","",IF(COUNTIFS($A$2:$A886,$A886,$C$2:$C886,$C886)=1,1,0))</f>
        <v/>
      </c>
      <c r="O886">
        <f>IF($A886="","",IF($B886&lt;&gt;"",$B886,$O885))</f>
        <v/>
      </c>
    </row>
    <row r="887">
      <c r="N887">
        <f>IF($A887="","",IF(COUNTIFS($A$2:$A887,$A887,$C$2:$C887,$C887)=1,1,0))</f>
        <v/>
      </c>
      <c r="O887">
        <f>IF($A887="","",IF($B887&lt;&gt;"",$B887,$O886))</f>
        <v/>
      </c>
    </row>
    <row r="888">
      <c r="N888">
        <f>IF($A888="","",IF(COUNTIFS($A$2:$A888,$A888,$C$2:$C888,$C888)=1,1,0))</f>
        <v/>
      </c>
      <c r="O888">
        <f>IF($A888="","",IF($B888&lt;&gt;"",$B888,$O887))</f>
        <v/>
      </c>
    </row>
    <row r="889">
      <c r="N889">
        <f>IF($A889="","",IF(COUNTIFS($A$2:$A889,$A889,$C$2:$C889,$C889)=1,1,0))</f>
        <v/>
      </c>
      <c r="O889">
        <f>IF($A889="","",IF($B889&lt;&gt;"",$B889,$O888))</f>
        <v/>
      </c>
    </row>
    <row r="890">
      <c r="N890">
        <f>IF($A890="","",IF(COUNTIFS($A$2:$A890,$A890,$C$2:$C890,$C890)=1,1,0))</f>
        <v/>
      </c>
      <c r="O890">
        <f>IF($A890="","",IF($B890&lt;&gt;"",$B890,$O889))</f>
        <v/>
      </c>
    </row>
    <row r="891">
      <c r="N891">
        <f>IF($A891="","",IF(COUNTIFS($A$2:$A891,$A891,$C$2:$C891,$C891)=1,1,0))</f>
        <v/>
      </c>
      <c r="O891">
        <f>IF($A891="","",IF($B891&lt;&gt;"",$B891,$O890))</f>
        <v/>
      </c>
    </row>
    <row r="892">
      <c r="N892">
        <f>IF($A892="","",IF(COUNTIFS($A$2:$A892,$A892,$C$2:$C892,$C892)=1,1,0))</f>
        <v/>
      </c>
      <c r="O892">
        <f>IF($A892="","",IF($B892&lt;&gt;"",$B892,$O891))</f>
        <v/>
      </c>
    </row>
    <row r="893">
      <c r="N893">
        <f>IF($A893="","",IF(COUNTIFS($A$2:$A893,$A893,$C$2:$C893,$C893)=1,1,0))</f>
        <v/>
      </c>
      <c r="O893">
        <f>IF($A893="","",IF($B893&lt;&gt;"",$B893,$O892))</f>
        <v/>
      </c>
    </row>
    <row r="894">
      <c r="N894">
        <f>IF($A894="","",IF(COUNTIFS($A$2:$A894,$A894,$C$2:$C894,$C894)=1,1,0))</f>
        <v/>
      </c>
      <c r="O894">
        <f>IF($A894="","",IF($B894&lt;&gt;"",$B894,$O893))</f>
        <v/>
      </c>
    </row>
    <row r="895">
      <c r="N895">
        <f>IF($A895="","",IF(COUNTIFS($A$2:$A895,$A895,$C$2:$C895,$C895)=1,1,0))</f>
        <v/>
      </c>
      <c r="O895">
        <f>IF($A895="","",IF($B895&lt;&gt;"",$B895,$O894))</f>
        <v/>
      </c>
    </row>
    <row r="896">
      <c r="N896">
        <f>IF($A896="","",IF(COUNTIFS($A$2:$A896,$A896,$C$2:$C896,$C896)=1,1,0))</f>
        <v/>
      </c>
      <c r="O896">
        <f>IF($A896="","",IF($B896&lt;&gt;"",$B896,$O895))</f>
        <v/>
      </c>
    </row>
    <row r="897">
      <c r="N897">
        <f>IF($A897="","",IF(COUNTIFS($A$2:$A897,$A897,$C$2:$C897,$C897)=1,1,0))</f>
        <v/>
      </c>
      <c r="O897">
        <f>IF($A897="","",IF($B897&lt;&gt;"",$B897,$O896))</f>
        <v/>
      </c>
    </row>
    <row r="898">
      <c r="N898">
        <f>IF($A898="","",IF(COUNTIFS($A$2:$A898,$A898,$C$2:$C898,$C898)=1,1,0))</f>
        <v/>
      </c>
      <c r="O898">
        <f>IF($A898="","",IF($B898&lt;&gt;"",$B898,$O897))</f>
        <v/>
      </c>
    </row>
    <row r="899">
      <c r="N899">
        <f>IF($A899="","",IF(COUNTIFS($A$2:$A899,$A899,$C$2:$C899,$C899)=1,1,0))</f>
        <v/>
      </c>
      <c r="O899">
        <f>IF($A899="","",IF($B899&lt;&gt;"",$B899,$O898))</f>
        <v/>
      </c>
    </row>
    <row r="900">
      <c r="N900">
        <f>IF($A900="","",IF(COUNTIFS($A$2:$A900,$A900,$C$2:$C900,$C900)=1,1,0))</f>
        <v/>
      </c>
      <c r="O900">
        <f>IF($A900="","",IF($B900&lt;&gt;"",$B900,$O899))</f>
        <v/>
      </c>
    </row>
    <row r="901">
      <c r="N901">
        <f>IF($A901="","",IF(COUNTIFS($A$2:$A901,$A901,$C$2:$C901,$C901)=1,1,0))</f>
        <v/>
      </c>
      <c r="O901">
        <f>IF($A901="","",IF($B901&lt;&gt;"",$B901,$O900))</f>
        <v/>
      </c>
    </row>
    <row r="902">
      <c r="N902">
        <f>IF($A902="","",IF(COUNTIFS($A$2:$A902,$A902,$C$2:$C902,$C902)=1,1,0))</f>
        <v/>
      </c>
      <c r="O902">
        <f>IF($A902="","",IF($B902&lt;&gt;"",$B902,$O901))</f>
        <v/>
      </c>
    </row>
    <row r="903">
      <c r="N903">
        <f>IF($A903="","",IF(COUNTIFS($A$2:$A903,$A903,$C$2:$C903,$C903)=1,1,0))</f>
        <v/>
      </c>
      <c r="O903">
        <f>IF($A903="","",IF($B903&lt;&gt;"",$B903,$O902))</f>
        <v/>
      </c>
    </row>
    <row r="904">
      <c r="N904">
        <f>IF($A904="","",IF(COUNTIFS($A$2:$A904,$A904,$C$2:$C904,$C904)=1,1,0))</f>
        <v/>
      </c>
      <c r="O904">
        <f>IF($A904="","",IF($B904&lt;&gt;"",$B904,$O903))</f>
        <v/>
      </c>
    </row>
    <row r="905">
      <c r="N905">
        <f>IF($A905="","",IF(COUNTIFS($A$2:$A905,$A905,$C$2:$C905,$C905)=1,1,0))</f>
        <v/>
      </c>
      <c r="O905">
        <f>IF($A905="","",IF($B905&lt;&gt;"",$B905,$O904))</f>
        <v/>
      </c>
    </row>
    <row r="906">
      <c r="N906">
        <f>IF($A906="","",IF(COUNTIFS($A$2:$A906,$A906,$C$2:$C906,$C906)=1,1,0))</f>
        <v/>
      </c>
      <c r="O906">
        <f>IF($A906="","",IF($B906&lt;&gt;"",$B906,$O905))</f>
        <v/>
      </c>
    </row>
    <row r="907">
      <c r="N907">
        <f>IF($A907="","",IF(COUNTIFS($A$2:$A907,$A907,$C$2:$C907,$C907)=1,1,0))</f>
        <v/>
      </c>
      <c r="O907">
        <f>IF($A907="","",IF($B907&lt;&gt;"",$B907,$O906))</f>
        <v/>
      </c>
    </row>
    <row r="908">
      <c r="N908">
        <f>IF($A908="","",IF(COUNTIFS($A$2:$A908,$A908,$C$2:$C908,$C908)=1,1,0))</f>
        <v/>
      </c>
      <c r="O908">
        <f>IF($A908="","",IF($B908&lt;&gt;"",$B908,$O907))</f>
        <v/>
      </c>
    </row>
    <row r="909">
      <c r="N909">
        <f>IF($A909="","",IF(COUNTIFS($A$2:$A909,$A909,$C$2:$C909,$C909)=1,1,0))</f>
        <v/>
      </c>
      <c r="O909">
        <f>IF($A909="","",IF($B909&lt;&gt;"",$B909,$O908))</f>
        <v/>
      </c>
    </row>
    <row r="910">
      <c r="N910">
        <f>IF($A910="","",IF(COUNTIFS($A$2:$A910,$A910,$C$2:$C910,$C910)=1,1,0))</f>
        <v/>
      </c>
      <c r="O910">
        <f>IF($A910="","",IF($B910&lt;&gt;"",$B910,$O909))</f>
        <v/>
      </c>
    </row>
    <row r="911">
      <c r="N911">
        <f>IF($A911="","",IF(COUNTIFS($A$2:$A911,$A911,$C$2:$C911,$C911)=1,1,0))</f>
        <v/>
      </c>
      <c r="O911">
        <f>IF($A911="","",IF($B911&lt;&gt;"",$B911,$O910))</f>
        <v/>
      </c>
    </row>
    <row r="912">
      <c r="N912">
        <f>IF($A912="","",IF(COUNTIFS($A$2:$A912,$A912,$C$2:$C912,$C912)=1,1,0))</f>
        <v/>
      </c>
      <c r="O912">
        <f>IF($A912="","",IF($B912&lt;&gt;"",$B912,$O911))</f>
        <v/>
      </c>
    </row>
    <row r="913">
      <c r="N913">
        <f>IF($A913="","",IF(COUNTIFS($A$2:$A913,$A913,$C$2:$C913,$C913)=1,1,0))</f>
        <v/>
      </c>
      <c r="O913">
        <f>IF($A913="","",IF($B913&lt;&gt;"",$B913,$O912))</f>
        <v/>
      </c>
    </row>
    <row r="914">
      <c r="N914">
        <f>IF($A914="","",IF(COUNTIFS($A$2:$A914,$A914,$C$2:$C914,$C914)=1,1,0))</f>
        <v/>
      </c>
      <c r="O914">
        <f>IF($A914="","",IF($B914&lt;&gt;"",$B914,$O913))</f>
        <v/>
      </c>
    </row>
    <row r="915">
      <c r="N915">
        <f>IF($A915="","",IF(COUNTIFS($A$2:$A915,$A915,$C$2:$C915,$C915)=1,1,0))</f>
        <v/>
      </c>
      <c r="O915">
        <f>IF($A915="","",IF($B915&lt;&gt;"",$B915,$O914))</f>
        <v/>
      </c>
    </row>
    <row r="916">
      <c r="N916">
        <f>IF($A916="","",IF(COUNTIFS($A$2:$A916,$A916,$C$2:$C916,$C916)=1,1,0))</f>
        <v/>
      </c>
      <c r="O916">
        <f>IF($A916="","",IF($B916&lt;&gt;"",$B916,$O915))</f>
        <v/>
      </c>
    </row>
    <row r="917">
      <c r="N917">
        <f>IF($A917="","",IF(COUNTIFS($A$2:$A917,$A917,$C$2:$C917,$C917)=1,1,0))</f>
        <v/>
      </c>
      <c r="O917">
        <f>IF($A917="","",IF($B917&lt;&gt;"",$B917,$O916))</f>
        <v/>
      </c>
    </row>
    <row r="918">
      <c r="N918">
        <f>IF($A918="","",IF(COUNTIFS($A$2:$A918,$A918,$C$2:$C918,$C918)=1,1,0))</f>
        <v/>
      </c>
      <c r="O918">
        <f>IF($A918="","",IF($B918&lt;&gt;"",$B918,$O917))</f>
        <v/>
      </c>
    </row>
    <row r="919">
      <c r="N919">
        <f>IF($A919="","",IF(COUNTIFS($A$2:$A919,$A919,$C$2:$C919,$C919)=1,1,0))</f>
        <v/>
      </c>
      <c r="O919">
        <f>IF($A919="","",IF($B919&lt;&gt;"",$B919,$O918))</f>
        <v/>
      </c>
    </row>
    <row r="920">
      <c r="N920">
        <f>IF($A920="","",IF(COUNTIFS($A$2:$A920,$A920,$C$2:$C920,$C920)=1,1,0))</f>
        <v/>
      </c>
      <c r="O920">
        <f>IF($A920="","",IF($B920&lt;&gt;"",$B920,$O919))</f>
        <v/>
      </c>
    </row>
    <row r="921">
      <c r="N921">
        <f>IF($A921="","",IF(COUNTIFS($A$2:$A921,$A921,$C$2:$C921,$C921)=1,1,0))</f>
        <v/>
      </c>
      <c r="O921">
        <f>IF($A921="","",IF($B921&lt;&gt;"",$B921,$O920))</f>
        <v/>
      </c>
    </row>
    <row r="922">
      <c r="N922">
        <f>IF($A922="","",IF(COUNTIFS($A$2:$A922,$A922,$C$2:$C922,$C922)=1,1,0))</f>
        <v/>
      </c>
      <c r="O922">
        <f>IF($A922="","",IF($B922&lt;&gt;"",$B922,$O921))</f>
        <v/>
      </c>
    </row>
    <row r="923">
      <c r="N923">
        <f>IF($A923="","",IF(COUNTIFS($A$2:$A923,$A923,$C$2:$C923,$C923)=1,1,0))</f>
        <v/>
      </c>
      <c r="O923">
        <f>IF($A923="","",IF($B923&lt;&gt;"",$B923,$O922))</f>
        <v/>
      </c>
    </row>
    <row r="924">
      <c r="N924">
        <f>IF($A924="","",IF(COUNTIFS($A$2:$A924,$A924,$C$2:$C924,$C924)=1,1,0))</f>
        <v/>
      </c>
      <c r="O924">
        <f>IF($A924="","",IF($B924&lt;&gt;"",$B924,$O923))</f>
        <v/>
      </c>
    </row>
    <row r="925">
      <c r="N925">
        <f>IF($A925="","",IF(COUNTIFS($A$2:$A925,$A925,$C$2:$C925,$C925)=1,1,0))</f>
        <v/>
      </c>
      <c r="O925">
        <f>IF($A925="","",IF($B925&lt;&gt;"",$B925,$O924))</f>
        <v/>
      </c>
    </row>
    <row r="926">
      <c r="N926">
        <f>IF($A926="","",IF(COUNTIFS($A$2:$A926,$A926,$C$2:$C926,$C926)=1,1,0))</f>
        <v/>
      </c>
      <c r="O926">
        <f>IF($A926="","",IF($B926&lt;&gt;"",$B926,$O925))</f>
        <v/>
      </c>
    </row>
    <row r="927">
      <c r="N927">
        <f>IF($A927="","",IF(COUNTIFS($A$2:$A927,$A927,$C$2:$C927,$C927)=1,1,0))</f>
        <v/>
      </c>
      <c r="O927">
        <f>IF($A927="","",IF($B927&lt;&gt;"",$B927,$O926))</f>
        <v/>
      </c>
    </row>
    <row r="928">
      <c r="N928">
        <f>IF($A928="","",IF(COUNTIFS($A$2:$A928,$A928,$C$2:$C928,$C928)=1,1,0))</f>
        <v/>
      </c>
      <c r="O928">
        <f>IF($A928="","",IF($B928&lt;&gt;"",$B928,$O927))</f>
        <v/>
      </c>
    </row>
    <row r="929">
      <c r="N929">
        <f>IF($A929="","",IF(COUNTIFS($A$2:$A929,$A929,$C$2:$C929,$C929)=1,1,0))</f>
        <v/>
      </c>
      <c r="O929">
        <f>IF($A929="","",IF($B929&lt;&gt;"",$B929,$O928))</f>
        <v/>
      </c>
    </row>
    <row r="930">
      <c r="N930">
        <f>IF($A930="","",IF(COUNTIFS($A$2:$A930,$A930,$C$2:$C930,$C930)=1,1,0))</f>
        <v/>
      </c>
      <c r="O930">
        <f>IF($A930="","",IF($B930&lt;&gt;"",$B930,$O929))</f>
        <v/>
      </c>
    </row>
    <row r="931">
      <c r="N931">
        <f>IF($A931="","",IF(COUNTIFS($A$2:$A931,$A931,$C$2:$C931,$C931)=1,1,0))</f>
        <v/>
      </c>
      <c r="O931">
        <f>IF($A931="","",IF($B931&lt;&gt;"",$B931,$O930))</f>
        <v/>
      </c>
    </row>
    <row r="932">
      <c r="N932">
        <f>IF($A932="","",IF(COUNTIFS($A$2:$A932,$A932,$C$2:$C932,$C932)=1,1,0))</f>
        <v/>
      </c>
      <c r="O932">
        <f>IF($A932="","",IF($B932&lt;&gt;"",$B932,$O931))</f>
        <v/>
      </c>
    </row>
    <row r="933">
      <c r="N933">
        <f>IF($A933="","",IF(COUNTIFS($A$2:$A933,$A933,$C$2:$C933,$C933)=1,1,0))</f>
        <v/>
      </c>
      <c r="O933">
        <f>IF($A933="","",IF($B933&lt;&gt;"",$B933,$O932))</f>
        <v/>
      </c>
    </row>
    <row r="934">
      <c r="N934">
        <f>IF($A934="","",IF(COUNTIFS($A$2:$A934,$A934,$C$2:$C934,$C934)=1,1,0))</f>
        <v/>
      </c>
      <c r="O934">
        <f>IF($A934="","",IF($B934&lt;&gt;"",$B934,$O933))</f>
        <v/>
      </c>
    </row>
    <row r="935">
      <c r="N935">
        <f>IF($A935="","",IF(COUNTIFS($A$2:$A935,$A935,$C$2:$C935,$C935)=1,1,0))</f>
        <v/>
      </c>
      <c r="O935">
        <f>IF($A935="","",IF($B935&lt;&gt;"",$B935,$O934))</f>
        <v/>
      </c>
    </row>
    <row r="936">
      <c r="N936">
        <f>IF($A936="","",IF(COUNTIFS($A$2:$A936,$A936,$C$2:$C936,$C936)=1,1,0))</f>
        <v/>
      </c>
      <c r="O936">
        <f>IF($A936="","",IF($B936&lt;&gt;"",$B936,$O935))</f>
        <v/>
      </c>
    </row>
    <row r="937">
      <c r="N937">
        <f>IF($A937="","",IF(COUNTIFS($A$2:$A937,$A937,$C$2:$C937,$C937)=1,1,0))</f>
        <v/>
      </c>
      <c r="O937">
        <f>IF($A937="","",IF($B937&lt;&gt;"",$B937,$O936))</f>
        <v/>
      </c>
    </row>
    <row r="938">
      <c r="N938">
        <f>IF($A938="","",IF(COUNTIFS($A$2:$A938,$A938,$C$2:$C938,$C938)=1,1,0))</f>
        <v/>
      </c>
      <c r="O938">
        <f>IF($A938="","",IF($B938&lt;&gt;"",$B938,$O937))</f>
        <v/>
      </c>
    </row>
    <row r="939">
      <c r="N939">
        <f>IF($A939="","",IF(COUNTIFS($A$2:$A939,$A939,$C$2:$C939,$C939)=1,1,0))</f>
        <v/>
      </c>
      <c r="O939">
        <f>IF($A939="","",IF($B939&lt;&gt;"",$B939,$O938))</f>
        <v/>
      </c>
    </row>
    <row r="940">
      <c r="N940">
        <f>IF($A940="","",IF(COUNTIFS($A$2:$A940,$A940,$C$2:$C940,$C940)=1,1,0))</f>
        <v/>
      </c>
      <c r="O940">
        <f>IF($A940="","",IF($B940&lt;&gt;"",$B940,$O939))</f>
        <v/>
      </c>
    </row>
    <row r="941">
      <c r="N941">
        <f>IF($A941="","",IF(COUNTIFS($A$2:$A941,$A941,$C$2:$C941,$C941)=1,1,0))</f>
        <v/>
      </c>
      <c r="O941">
        <f>IF($A941="","",IF($B941&lt;&gt;"",$B941,$O940))</f>
        <v/>
      </c>
    </row>
    <row r="942">
      <c r="N942">
        <f>IF($A942="","",IF(COUNTIFS($A$2:$A942,$A942,$C$2:$C942,$C942)=1,1,0))</f>
        <v/>
      </c>
      <c r="O942">
        <f>IF($A942="","",IF($B942&lt;&gt;"",$B942,$O941))</f>
        <v/>
      </c>
    </row>
    <row r="943">
      <c r="N943">
        <f>IF($A943="","",IF(COUNTIFS($A$2:$A943,$A943,$C$2:$C943,$C943)=1,1,0))</f>
        <v/>
      </c>
      <c r="O943">
        <f>IF($A943="","",IF($B943&lt;&gt;"",$B943,$O942))</f>
        <v/>
      </c>
    </row>
    <row r="944">
      <c r="N944">
        <f>IF($A944="","",IF(COUNTIFS($A$2:$A944,$A944,$C$2:$C944,$C944)=1,1,0))</f>
        <v/>
      </c>
      <c r="O944">
        <f>IF($A944="","",IF($B944&lt;&gt;"",$B944,$O943))</f>
        <v/>
      </c>
    </row>
    <row r="945">
      <c r="N945">
        <f>IF($A945="","",IF(COUNTIFS($A$2:$A945,$A945,$C$2:$C945,$C945)=1,1,0))</f>
        <v/>
      </c>
      <c r="O945">
        <f>IF($A945="","",IF($B945&lt;&gt;"",$B945,$O944))</f>
        <v/>
      </c>
    </row>
    <row r="946">
      <c r="N946">
        <f>IF($A946="","",IF(COUNTIFS($A$2:$A946,$A946,$C$2:$C946,$C946)=1,1,0))</f>
        <v/>
      </c>
      <c r="O946">
        <f>IF($A946="","",IF($B946&lt;&gt;"",$B946,$O945))</f>
        <v/>
      </c>
    </row>
    <row r="947">
      <c r="N947">
        <f>IF($A947="","",IF(COUNTIFS($A$2:$A947,$A947,$C$2:$C947,$C947)=1,1,0))</f>
        <v/>
      </c>
      <c r="O947">
        <f>IF($A947="","",IF($B947&lt;&gt;"",$B947,$O946))</f>
        <v/>
      </c>
    </row>
    <row r="948">
      <c r="N948">
        <f>IF($A948="","",IF(COUNTIFS($A$2:$A948,$A948,$C$2:$C948,$C948)=1,1,0))</f>
        <v/>
      </c>
      <c r="O948">
        <f>IF($A948="","",IF($B948&lt;&gt;"",$B948,$O947))</f>
        <v/>
      </c>
    </row>
    <row r="949">
      <c r="N949">
        <f>IF($A949="","",IF(COUNTIFS($A$2:$A949,$A949,$C$2:$C949,$C949)=1,1,0))</f>
        <v/>
      </c>
      <c r="O949">
        <f>IF($A949="","",IF($B949&lt;&gt;"",$B949,$O948))</f>
        <v/>
      </c>
    </row>
    <row r="950">
      <c r="N950">
        <f>IF($A950="","",IF(COUNTIFS($A$2:$A950,$A950,$C$2:$C950,$C950)=1,1,0))</f>
        <v/>
      </c>
      <c r="O950">
        <f>IF($A950="","",IF($B950&lt;&gt;"",$B950,$O949))</f>
        <v/>
      </c>
    </row>
    <row r="951">
      <c r="N951">
        <f>IF($A951="","",IF(COUNTIFS($A$2:$A951,$A951,$C$2:$C951,$C951)=1,1,0))</f>
        <v/>
      </c>
      <c r="O951">
        <f>IF($A951="","",IF($B951&lt;&gt;"",$B951,$O950))</f>
        <v/>
      </c>
    </row>
    <row r="952">
      <c r="N952">
        <f>IF($A952="","",IF(COUNTIFS($A$2:$A952,$A952,$C$2:$C952,$C952)=1,1,0))</f>
        <v/>
      </c>
      <c r="O952">
        <f>IF($A952="","",IF($B952&lt;&gt;"",$B952,$O951))</f>
        <v/>
      </c>
    </row>
    <row r="953">
      <c r="N953">
        <f>IF($A953="","",IF(COUNTIFS($A$2:$A953,$A953,$C$2:$C953,$C953)=1,1,0))</f>
        <v/>
      </c>
      <c r="O953">
        <f>IF($A953="","",IF($B953&lt;&gt;"",$B953,$O952))</f>
        <v/>
      </c>
    </row>
    <row r="954">
      <c r="N954">
        <f>IF($A954="","",IF(COUNTIFS($A$2:$A954,$A954,$C$2:$C954,$C954)=1,1,0))</f>
        <v/>
      </c>
      <c r="O954">
        <f>IF($A954="","",IF($B954&lt;&gt;"",$B954,$O953))</f>
        <v/>
      </c>
    </row>
    <row r="955">
      <c r="N955">
        <f>IF($A955="","",IF(COUNTIFS($A$2:$A955,$A955,$C$2:$C955,$C955)=1,1,0))</f>
        <v/>
      </c>
      <c r="O955">
        <f>IF($A955="","",IF($B955&lt;&gt;"",$B955,$O954))</f>
        <v/>
      </c>
    </row>
    <row r="956">
      <c r="N956">
        <f>IF($A956="","",IF(COUNTIFS($A$2:$A956,$A956,$C$2:$C956,$C956)=1,1,0))</f>
        <v/>
      </c>
      <c r="O956">
        <f>IF($A956="","",IF($B956&lt;&gt;"",$B956,$O955))</f>
        <v/>
      </c>
    </row>
    <row r="957">
      <c r="N957">
        <f>IF($A957="","",IF(COUNTIFS($A$2:$A957,$A957,$C$2:$C957,$C957)=1,1,0))</f>
        <v/>
      </c>
      <c r="O957">
        <f>IF($A957="","",IF($B957&lt;&gt;"",$B957,$O956))</f>
        <v/>
      </c>
    </row>
    <row r="958">
      <c r="N958">
        <f>IF($A958="","",IF(COUNTIFS($A$2:$A958,$A958,$C$2:$C958,$C958)=1,1,0))</f>
        <v/>
      </c>
      <c r="O958">
        <f>IF($A958="","",IF($B958&lt;&gt;"",$B958,$O957))</f>
        <v/>
      </c>
    </row>
    <row r="959">
      <c r="N959">
        <f>IF($A959="","",IF(COUNTIFS($A$2:$A959,$A959,$C$2:$C959,$C959)=1,1,0))</f>
        <v/>
      </c>
      <c r="O959">
        <f>IF($A959="","",IF($B959&lt;&gt;"",$B959,$O958))</f>
        <v/>
      </c>
    </row>
    <row r="960">
      <c r="N960">
        <f>IF($A960="","",IF(COUNTIFS($A$2:$A960,$A960,$C$2:$C960,$C960)=1,1,0))</f>
        <v/>
      </c>
      <c r="O960">
        <f>IF($A960="","",IF($B960&lt;&gt;"",$B960,$O959))</f>
        <v/>
      </c>
    </row>
    <row r="961">
      <c r="N961">
        <f>IF($A961="","",IF(COUNTIFS($A$2:$A961,$A961,$C$2:$C961,$C961)=1,1,0))</f>
        <v/>
      </c>
      <c r="O961">
        <f>IF($A961="","",IF($B961&lt;&gt;"",$B961,$O960))</f>
        <v/>
      </c>
    </row>
    <row r="962">
      <c r="N962">
        <f>IF($A962="","",IF(COUNTIFS($A$2:$A962,$A962,$C$2:$C962,$C962)=1,1,0))</f>
        <v/>
      </c>
      <c r="O962">
        <f>IF($A962="","",IF($B962&lt;&gt;"",$B962,$O961))</f>
        <v/>
      </c>
    </row>
    <row r="963">
      <c r="N963">
        <f>IF($A963="","",IF(COUNTIFS($A$2:$A963,$A963,$C$2:$C963,$C963)=1,1,0))</f>
        <v/>
      </c>
      <c r="O963">
        <f>IF($A963="","",IF($B963&lt;&gt;"",$B963,$O962))</f>
        <v/>
      </c>
    </row>
    <row r="964">
      <c r="N964">
        <f>IF($A964="","",IF(COUNTIFS($A$2:$A964,$A964,$C$2:$C964,$C964)=1,1,0))</f>
        <v/>
      </c>
      <c r="O964">
        <f>IF($A964="","",IF($B964&lt;&gt;"",$B964,$O963))</f>
        <v/>
      </c>
    </row>
    <row r="965">
      <c r="N965">
        <f>IF($A965="","",IF(COUNTIFS($A$2:$A965,$A965,$C$2:$C965,$C965)=1,1,0))</f>
        <v/>
      </c>
      <c r="O965">
        <f>IF($A965="","",IF($B965&lt;&gt;"",$B965,$O964))</f>
        <v/>
      </c>
    </row>
    <row r="966">
      <c r="N966">
        <f>IF($A966="","",IF(COUNTIFS($A$2:$A966,$A966,$C$2:$C966,$C966)=1,1,0))</f>
        <v/>
      </c>
      <c r="O966">
        <f>IF($A966="","",IF($B966&lt;&gt;"",$B966,$O965))</f>
        <v/>
      </c>
    </row>
    <row r="967">
      <c r="N967">
        <f>IF($A967="","",IF(COUNTIFS($A$2:$A967,$A967,$C$2:$C967,$C967)=1,1,0))</f>
        <v/>
      </c>
      <c r="O967">
        <f>IF($A967="","",IF($B967&lt;&gt;"",$B967,$O966))</f>
        <v/>
      </c>
    </row>
    <row r="968">
      <c r="N968">
        <f>IF($A968="","",IF(COUNTIFS($A$2:$A968,$A968,$C$2:$C968,$C968)=1,1,0))</f>
        <v/>
      </c>
      <c r="O968">
        <f>IF($A968="","",IF($B968&lt;&gt;"",$B968,$O967))</f>
        <v/>
      </c>
    </row>
    <row r="969">
      <c r="N969">
        <f>IF($A969="","",IF(COUNTIFS($A$2:$A969,$A969,$C$2:$C969,$C969)=1,1,0))</f>
        <v/>
      </c>
      <c r="O969">
        <f>IF($A969="","",IF($B969&lt;&gt;"",$B969,$O968))</f>
        <v/>
      </c>
    </row>
    <row r="970">
      <c r="N970">
        <f>IF($A970="","",IF(COUNTIFS($A$2:$A970,$A970,$C$2:$C970,$C970)=1,1,0))</f>
        <v/>
      </c>
      <c r="O970">
        <f>IF($A970="","",IF($B970&lt;&gt;"",$B970,$O969))</f>
        <v/>
      </c>
    </row>
    <row r="971">
      <c r="N971">
        <f>IF($A971="","",IF(COUNTIFS($A$2:$A971,$A971,$C$2:$C971,$C971)=1,1,0))</f>
        <v/>
      </c>
      <c r="O971">
        <f>IF($A971="","",IF($B971&lt;&gt;"",$B971,$O970))</f>
        <v/>
      </c>
    </row>
    <row r="972">
      <c r="N972">
        <f>IF($A972="","",IF(COUNTIFS($A$2:$A972,$A972,$C$2:$C972,$C972)=1,1,0))</f>
        <v/>
      </c>
      <c r="O972">
        <f>IF($A972="","",IF($B972&lt;&gt;"",$B972,$O971))</f>
        <v/>
      </c>
    </row>
    <row r="973">
      <c r="N973">
        <f>IF($A973="","",IF(COUNTIFS($A$2:$A973,$A973,$C$2:$C973,$C973)=1,1,0))</f>
        <v/>
      </c>
      <c r="O973">
        <f>IF($A973="","",IF($B973&lt;&gt;"",$B973,$O972))</f>
        <v/>
      </c>
    </row>
    <row r="974">
      <c r="N974">
        <f>IF($A974="","",IF(COUNTIFS($A$2:$A974,$A974,$C$2:$C974,$C974)=1,1,0))</f>
        <v/>
      </c>
      <c r="O974">
        <f>IF($A974="","",IF($B974&lt;&gt;"",$B974,$O973))</f>
        <v/>
      </c>
    </row>
    <row r="975">
      <c r="N975">
        <f>IF($A975="","",IF(COUNTIFS($A$2:$A975,$A975,$C$2:$C975,$C975)=1,1,0))</f>
        <v/>
      </c>
      <c r="O975">
        <f>IF($A975="","",IF($B975&lt;&gt;"",$B975,$O974))</f>
        <v/>
      </c>
    </row>
    <row r="976">
      <c r="N976">
        <f>IF($A976="","",IF(COUNTIFS($A$2:$A976,$A976,$C$2:$C976,$C976)=1,1,0))</f>
        <v/>
      </c>
      <c r="O976">
        <f>IF($A976="","",IF($B976&lt;&gt;"",$B976,$O975))</f>
        <v/>
      </c>
    </row>
    <row r="977">
      <c r="N977">
        <f>IF($A977="","",IF(COUNTIFS($A$2:$A977,$A977,$C$2:$C977,$C977)=1,1,0))</f>
        <v/>
      </c>
      <c r="O977">
        <f>IF($A977="","",IF($B977&lt;&gt;"",$B977,$O976))</f>
        <v/>
      </c>
    </row>
    <row r="978">
      <c r="N978">
        <f>IF($A978="","",IF(COUNTIFS($A$2:$A978,$A978,$C$2:$C978,$C978)=1,1,0))</f>
        <v/>
      </c>
      <c r="O978">
        <f>IF($A978="","",IF($B978&lt;&gt;"",$B978,$O977))</f>
        <v/>
      </c>
    </row>
    <row r="979">
      <c r="N979">
        <f>IF($A979="","",IF(COUNTIFS($A$2:$A979,$A979,$C$2:$C979,$C979)=1,1,0))</f>
        <v/>
      </c>
      <c r="O979">
        <f>IF($A979="","",IF($B979&lt;&gt;"",$B979,$O978))</f>
        <v/>
      </c>
    </row>
    <row r="980">
      <c r="N980">
        <f>IF($A980="","",IF(COUNTIFS($A$2:$A980,$A980,$C$2:$C980,$C980)=1,1,0))</f>
        <v/>
      </c>
      <c r="O980">
        <f>IF($A980="","",IF($B980&lt;&gt;"",$B980,$O979))</f>
        <v/>
      </c>
    </row>
    <row r="981">
      <c r="N981">
        <f>IF($A981="","",IF(COUNTIFS($A$2:$A981,$A981,$C$2:$C981,$C981)=1,1,0))</f>
        <v/>
      </c>
      <c r="O981">
        <f>IF($A981="","",IF($B981&lt;&gt;"",$B981,$O980))</f>
        <v/>
      </c>
    </row>
    <row r="982">
      <c r="N982">
        <f>IF($A982="","",IF(COUNTIFS($A$2:$A982,$A982,$C$2:$C982,$C982)=1,1,0))</f>
        <v/>
      </c>
      <c r="O982">
        <f>IF($A982="","",IF($B982&lt;&gt;"",$B982,$O981))</f>
        <v/>
      </c>
    </row>
    <row r="983">
      <c r="N983">
        <f>IF($A983="","",IF(COUNTIFS($A$2:$A983,$A983,$C$2:$C983,$C983)=1,1,0))</f>
        <v/>
      </c>
      <c r="O983">
        <f>IF($A983="","",IF($B983&lt;&gt;"",$B983,$O982))</f>
        <v/>
      </c>
    </row>
    <row r="984">
      <c r="N984">
        <f>IF($A984="","",IF(COUNTIFS($A$2:$A984,$A984,$C$2:$C984,$C984)=1,1,0))</f>
        <v/>
      </c>
      <c r="O984">
        <f>IF($A984="","",IF($B984&lt;&gt;"",$B984,$O983))</f>
        <v/>
      </c>
    </row>
    <row r="985">
      <c r="N985">
        <f>IF($A985="","",IF(COUNTIFS($A$2:$A985,$A985,$C$2:$C985,$C985)=1,1,0))</f>
        <v/>
      </c>
      <c r="O985">
        <f>IF($A985="","",IF($B985&lt;&gt;"",$B985,$O984))</f>
        <v/>
      </c>
    </row>
    <row r="986">
      <c r="N986">
        <f>IF($A986="","",IF(COUNTIFS($A$2:$A986,$A986,$C$2:$C986,$C986)=1,1,0))</f>
        <v/>
      </c>
      <c r="O986">
        <f>IF($A986="","",IF($B986&lt;&gt;"",$B986,$O985))</f>
        <v/>
      </c>
    </row>
    <row r="987">
      <c r="N987">
        <f>IF($A987="","",IF(COUNTIFS($A$2:$A987,$A987,$C$2:$C987,$C987)=1,1,0))</f>
        <v/>
      </c>
      <c r="O987">
        <f>IF($A987="","",IF($B987&lt;&gt;"",$B987,$O986))</f>
        <v/>
      </c>
    </row>
    <row r="988">
      <c r="N988">
        <f>IF($A988="","",IF(COUNTIFS($A$2:$A988,$A988,$C$2:$C988,$C988)=1,1,0))</f>
        <v/>
      </c>
      <c r="O988">
        <f>IF($A988="","",IF($B988&lt;&gt;"",$B988,$O987))</f>
        <v/>
      </c>
    </row>
    <row r="989">
      <c r="N989">
        <f>IF($A989="","",IF(COUNTIFS($A$2:$A989,$A989,$C$2:$C989,$C989)=1,1,0))</f>
        <v/>
      </c>
      <c r="O989">
        <f>IF($A989="","",IF($B989&lt;&gt;"",$B989,$O988))</f>
        <v/>
      </c>
    </row>
    <row r="990">
      <c r="N990">
        <f>IF($A990="","",IF(COUNTIFS($A$2:$A990,$A990,$C$2:$C990,$C990)=1,1,0))</f>
        <v/>
      </c>
      <c r="O990">
        <f>IF($A990="","",IF($B990&lt;&gt;"",$B990,$O989))</f>
        <v/>
      </c>
    </row>
    <row r="991">
      <c r="N991">
        <f>IF($A991="","",IF(COUNTIFS($A$2:$A991,$A991,$C$2:$C991,$C991)=1,1,0))</f>
        <v/>
      </c>
      <c r="O991">
        <f>IF($A991="","",IF($B991&lt;&gt;"",$B991,$O990))</f>
        <v/>
      </c>
    </row>
    <row r="992">
      <c r="N992">
        <f>IF($A992="","",IF(COUNTIFS($A$2:$A992,$A992,$C$2:$C992,$C992)=1,1,0))</f>
        <v/>
      </c>
      <c r="O992">
        <f>IF($A992="","",IF($B992&lt;&gt;"",$B992,$O991))</f>
        <v/>
      </c>
    </row>
    <row r="993">
      <c r="N993">
        <f>IF($A993="","",IF(COUNTIFS($A$2:$A993,$A993,$C$2:$C993,$C993)=1,1,0))</f>
        <v/>
      </c>
      <c r="O993">
        <f>IF($A993="","",IF($B993&lt;&gt;"",$B993,$O992))</f>
        <v/>
      </c>
    </row>
    <row r="994">
      <c r="N994">
        <f>IF($A994="","",IF(COUNTIFS($A$2:$A994,$A994,$C$2:$C994,$C994)=1,1,0))</f>
        <v/>
      </c>
      <c r="O994">
        <f>IF($A994="","",IF($B994&lt;&gt;"",$B994,$O993))</f>
        <v/>
      </c>
    </row>
    <row r="995">
      <c r="N995">
        <f>IF($A995="","",IF(COUNTIFS($A$2:$A995,$A995,$C$2:$C995,$C995)=1,1,0))</f>
        <v/>
      </c>
      <c r="O995">
        <f>IF($A995="","",IF($B995&lt;&gt;"",$B995,$O994))</f>
        <v/>
      </c>
    </row>
    <row r="996">
      <c r="N996">
        <f>IF($A996="","",IF(COUNTIFS($A$2:$A996,$A996,$C$2:$C996,$C996)=1,1,0))</f>
        <v/>
      </c>
      <c r="O996">
        <f>IF($A996="","",IF($B996&lt;&gt;"",$B996,$O995))</f>
        <v/>
      </c>
    </row>
    <row r="997">
      <c r="N997">
        <f>IF($A997="","",IF(COUNTIFS($A$2:$A997,$A997,$C$2:$C997,$C997)=1,1,0))</f>
        <v/>
      </c>
      <c r="O997">
        <f>IF($A997="","",IF($B997&lt;&gt;"",$B997,$O996))</f>
        <v/>
      </c>
    </row>
    <row r="998">
      <c r="N998">
        <f>IF($A998="","",IF(COUNTIFS($A$2:$A998,$A998,$C$2:$C998,$C998)=1,1,0))</f>
        <v/>
      </c>
      <c r="O998">
        <f>IF($A998="","",IF($B998&lt;&gt;"",$B998,$O997))</f>
        <v/>
      </c>
    </row>
    <row r="999">
      <c r="N999">
        <f>IF($A999="","",IF(COUNTIFS($A$2:$A999,$A999,$C$2:$C999,$C999)=1,1,0))</f>
        <v/>
      </c>
      <c r="O999">
        <f>IF($A999="","",IF($B999&lt;&gt;"",$B999,$O998))</f>
        <v/>
      </c>
    </row>
    <row r="1000">
      <c r="N1000">
        <f>IF($A1000="","",IF(COUNTIFS($A$2:$A1000,$A1000,$C$2:$C1000,$C1000)=1,1,0))</f>
        <v/>
      </c>
      <c r="O1000">
        <f>IF($A1000="","",IF($B1000&lt;&gt;"",$B1000,$O999))</f>
        <v/>
      </c>
    </row>
    <row r="1001">
      <c r="N1001">
        <f>IF($A1001="","",IF(COUNTIFS($A$2:$A1001,$A1001,$C$2:$C1001,$C1001)=1,1,0))</f>
        <v/>
      </c>
      <c r="O1001">
        <f>IF($A1001="","",IF($B1001&lt;&gt;"",$B1001,$O1000))</f>
        <v/>
      </c>
    </row>
    <row r="1002">
      <c r="N1002">
        <f>IF($A1002="","",IF(COUNTIFS($A$2:$A1002,$A1002,$C$2:$C1002,$C1002)=1,1,0))</f>
        <v/>
      </c>
      <c r="O1002">
        <f>IF($A1002="","",IF($B1002&lt;&gt;"",$B1002,$O1001))</f>
        <v/>
      </c>
    </row>
    <row r="1003">
      <c r="N1003">
        <f>IF($A1003="","",IF(COUNTIFS($A$2:$A1003,$A1003,$C$2:$C1003,$C1003)=1,1,0))</f>
        <v/>
      </c>
      <c r="O1003">
        <f>IF($A1003="","",IF($B1003&lt;&gt;"",$B1003,$O1002))</f>
        <v/>
      </c>
    </row>
    <row r="1004">
      <c r="N1004">
        <f>IF($A1004="","",IF(COUNTIFS($A$2:$A1004,$A1004,$C$2:$C1004,$C1004)=1,1,0))</f>
        <v/>
      </c>
      <c r="O1004">
        <f>IF($A1004="","",IF($B1004&lt;&gt;"",$B1004,$O1003))</f>
        <v/>
      </c>
    </row>
    <row r="1005">
      <c r="N1005">
        <f>IF($A1005="","",IF(COUNTIFS($A$2:$A1005,$A1005,$C$2:$C1005,$C1005)=1,1,0))</f>
        <v/>
      </c>
      <c r="O1005">
        <f>IF($A1005="","",IF($B1005&lt;&gt;"",$B1005,$O1004))</f>
        <v/>
      </c>
    </row>
    <row r="1006">
      <c r="N1006">
        <f>IF($A1006="","",IF(COUNTIFS($A$2:$A1006,$A1006,$C$2:$C1006,$C1006)=1,1,0))</f>
        <v/>
      </c>
      <c r="O1006">
        <f>IF($A1006="","",IF($B1006&lt;&gt;"",$B1006,$O1005))</f>
        <v/>
      </c>
    </row>
    <row r="1007">
      <c r="N1007">
        <f>IF($A1007="","",IF(COUNTIFS($A$2:$A1007,$A1007,$C$2:$C1007,$C1007)=1,1,0))</f>
        <v/>
      </c>
      <c r="O1007">
        <f>IF($A1007="","",IF($B1007&lt;&gt;"",$B1007,$O1006))</f>
        <v/>
      </c>
    </row>
    <row r="1008">
      <c r="N1008">
        <f>IF($A1008="","",IF(COUNTIFS($A$2:$A1008,$A1008,$C$2:$C1008,$C1008)=1,1,0))</f>
        <v/>
      </c>
      <c r="O1008">
        <f>IF($A1008="","",IF($B1008&lt;&gt;"",$B1008,$O1007))</f>
        <v/>
      </c>
    </row>
    <row r="1009">
      <c r="N1009">
        <f>IF($A1009="","",IF(COUNTIFS($A$2:$A1009,$A1009,$C$2:$C1009,$C1009)=1,1,0))</f>
        <v/>
      </c>
      <c r="O1009">
        <f>IF($A1009="","",IF($B1009&lt;&gt;"",$B1009,$O1008))</f>
        <v/>
      </c>
    </row>
    <row r="1010">
      <c r="N1010">
        <f>IF($A1010="","",IF(COUNTIFS($A$2:$A1010,$A1010,$C$2:$C1010,$C1010)=1,1,0))</f>
        <v/>
      </c>
      <c r="O1010">
        <f>IF($A1010="","",IF($B1010&lt;&gt;"",$B1010,$O1009))</f>
        <v/>
      </c>
    </row>
    <row r="1011">
      <c r="N1011">
        <f>IF($A1011="","",IF(COUNTIFS($A$2:$A1011,$A1011,$C$2:$C1011,$C1011)=1,1,0))</f>
        <v/>
      </c>
      <c r="O1011">
        <f>IF($A1011="","",IF($B1011&lt;&gt;"",$B1011,$O1010))</f>
        <v/>
      </c>
    </row>
    <row r="1012">
      <c r="N1012">
        <f>IF($A1012="","",IF(COUNTIFS($A$2:$A1012,$A1012,$C$2:$C1012,$C1012)=1,1,0))</f>
        <v/>
      </c>
      <c r="O1012">
        <f>IF($A1012="","",IF($B1012&lt;&gt;"",$B1012,$O1011))</f>
        <v/>
      </c>
    </row>
    <row r="1013">
      <c r="N1013">
        <f>IF($A1013="","",IF(COUNTIFS($A$2:$A1013,$A1013,$C$2:$C1013,$C1013)=1,1,0))</f>
        <v/>
      </c>
      <c r="O1013">
        <f>IF($A1013="","",IF($B1013&lt;&gt;"",$B1013,$O1012))</f>
        <v/>
      </c>
    </row>
    <row r="1014">
      <c r="N1014">
        <f>IF($A1014="","",IF(COUNTIFS($A$2:$A1014,$A1014,$C$2:$C1014,$C1014)=1,1,0))</f>
        <v/>
      </c>
      <c r="O1014">
        <f>IF($A1014="","",IF($B1014&lt;&gt;"",$B1014,$O1013))</f>
        <v/>
      </c>
    </row>
    <row r="1015">
      <c r="N1015">
        <f>IF($A1015="","",IF(COUNTIFS($A$2:$A1015,$A1015,$C$2:$C1015,$C1015)=1,1,0))</f>
        <v/>
      </c>
      <c r="O1015">
        <f>IF($A1015="","",IF($B1015&lt;&gt;"",$B1015,$O1014))</f>
        <v/>
      </c>
    </row>
    <row r="1016">
      <c r="N1016">
        <f>IF($A1016="","",IF(COUNTIFS($A$2:$A1016,$A1016,$C$2:$C1016,$C1016)=1,1,0))</f>
        <v/>
      </c>
      <c r="O1016">
        <f>IF($A1016="","",IF($B1016&lt;&gt;"",$B1016,$O1015))</f>
        <v/>
      </c>
    </row>
    <row r="1017">
      <c r="N1017">
        <f>IF($A1017="","",IF(COUNTIFS($A$2:$A1017,$A1017,$C$2:$C1017,$C1017)=1,1,0))</f>
        <v/>
      </c>
      <c r="O1017">
        <f>IF($A1017="","",IF($B1017&lt;&gt;"",$B1017,$O1016))</f>
        <v/>
      </c>
    </row>
    <row r="1018">
      <c r="N1018">
        <f>IF($A1018="","",IF(COUNTIFS($A$2:$A1018,$A1018,$C$2:$C1018,$C1018)=1,1,0))</f>
        <v/>
      </c>
      <c r="O1018">
        <f>IF($A1018="","",IF($B1018&lt;&gt;"",$B1018,$O1017))</f>
        <v/>
      </c>
    </row>
    <row r="1019">
      <c r="N1019">
        <f>IF($A1019="","",IF(COUNTIFS($A$2:$A1019,$A1019,$C$2:$C1019,$C1019)=1,1,0))</f>
        <v/>
      </c>
      <c r="O1019">
        <f>IF($A1019="","",IF($B1019&lt;&gt;"",$B1019,$O1018))</f>
        <v/>
      </c>
    </row>
    <row r="1020">
      <c r="N1020">
        <f>IF($A1020="","",IF(COUNTIFS($A$2:$A1020,$A1020,$C$2:$C1020,$C1020)=1,1,0))</f>
        <v/>
      </c>
      <c r="O1020">
        <f>IF($A1020="","",IF($B1020&lt;&gt;"",$B1020,$O1019))</f>
        <v/>
      </c>
    </row>
    <row r="1021">
      <c r="N1021">
        <f>IF($A1021="","",IF(COUNTIFS($A$2:$A1021,$A1021,$C$2:$C1021,$C1021)=1,1,0))</f>
        <v/>
      </c>
      <c r="O1021">
        <f>IF($A1021="","",IF($B1021&lt;&gt;"",$B1021,$O1020))</f>
        <v/>
      </c>
    </row>
    <row r="1022">
      <c r="N1022">
        <f>IF($A1022="","",IF(COUNTIFS($A$2:$A1022,$A1022,$C$2:$C1022,$C1022)=1,1,0))</f>
        <v/>
      </c>
      <c r="O1022">
        <f>IF($A1022="","",IF($B1022&lt;&gt;"",$B1022,$O1021))</f>
        <v/>
      </c>
    </row>
    <row r="1023">
      <c r="N1023">
        <f>IF($A1023="","",IF(COUNTIFS($A$2:$A1023,$A1023,$C$2:$C1023,$C1023)=1,1,0))</f>
        <v/>
      </c>
      <c r="O1023">
        <f>IF($A1023="","",IF($B1023&lt;&gt;"",$B1023,$O1022))</f>
        <v/>
      </c>
    </row>
    <row r="1024">
      <c r="N1024">
        <f>IF($A1024="","",IF(COUNTIFS($A$2:$A1024,$A1024,$C$2:$C1024,$C1024)=1,1,0))</f>
        <v/>
      </c>
      <c r="O1024">
        <f>IF($A1024="","",IF($B1024&lt;&gt;"",$B1024,$O1023))</f>
        <v/>
      </c>
    </row>
    <row r="1025">
      <c r="N1025">
        <f>IF($A1025="","",IF(COUNTIFS($A$2:$A1025,$A1025,$C$2:$C1025,$C1025)=1,1,0))</f>
        <v/>
      </c>
      <c r="O1025">
        <f>IF($A1025="","",IF($B1025&lt;&gt;"",$B1025,$O1024))</f>
        <v/>
      </c>
    </row>
    <row r="1026">
      <c r="N1026">
        <f>IF($A1026="","",IF(COUNTIFS($A$2:$A1026,$A1026,$C$2:$C1026,$C1026)=1,1,0))</f>
        <v/>
      </c>
      <c r="O1026">
        <f>IF($A1026="","",IF($B1026&lt;&gt;"",$B1026,$O1025))</f>
        <v/>
      </c>
    </row>
    <row r="1027">
      <c r="N1027">
        <f>IF($A1027="","",IF(COUNTIFS($A$2:$A1027,$A1027,$C$2:$C1027,$C1027)=1,1,0))</f>
        <v/>
      </c>
      <c r="O1027">
        <f>IF($A1027="","",IF($B1027&lt;&gt;"",$B1027,$O1026))</f>
        <v/>
      </c>
    </row>
    <row r="1028">
      <c r="N1028">
        <f>IF($A1028="","",IF(COUNTIFS($A$2:$A1028,$A1028,$C$2:$C1028,$C1028)=1,1,0))</f>
        <v/>
      </c>
      <c r="O1028">
        <f>IF($A1028="","",IF($B1028&lt;&gt;"",$B1028,$O1027))</f>
        <v/>
      </c>
    </row>
    <row r="1029">
      <c r="N1029">
        <f>IF($A1029="","",IF(COUNTIFS($A$2:$A1029,$A1029,$C$2:$C1029,$C1029)=1,1,0))</f>
        <v/>
      </c>
      <c r="O1029">
        <f>IF($A1029="","",IF($B1029&lt;&gt;"",$B1029,$O1028))</f>
        <v/>
      </c>
    </row>
    <row r="1030">
      <c r="N1030">
        <f>IF($A1030="","",IF(COUNTIFS($A$2:$A1030,$A1030,$C$2:$C1030,$C1030)=1,1,0))</f>
        <v/>
      </c>
      <c r="O1030">
        <f>IF($A1030="","",IF($B1030&lt;&gt;"",$B1030,$O1029))</f>
        <v/>
      </c>
    </row>
    <row r="1031">
      <c r="N1031">
        <f>IF($A1031="","",IF(COUNTIFS($A$2:$A1031,$A1031,$C$2:$C1031,$C1031)=1,1,0))</f>
        <v/>
      </c>
      <c r="O1031">
        <f>IF($A1031="","",IF($B1031&lt;&gt;"",$B1031,$O1030))</f>
        <v/>
      </c>
    </row>
    <row r="1032">
      <c r="N1032">
        <f>IF($A1032="","",IF(COUNTIFS($A$2:$A1032,$A1032,$C$2:$C1032,$C1032)=1,1,0))</f>
        <v/>
      </c>
      <c r="O1032">
        <f>IF($A1032="","",IF($B1032&lt;&gt;"",$B1032,$O1031))</f>
        <v/>
      </c>
    </row>
    <row r="1033">
      <c r="N1033">
        <f>IF($A1033="","",IF(COUNTIFS($A$2:$A1033,$A1033,$C$2:$C1033,$C1033)=1,1,0))</f>
        <v/>
      </c>
      <c r="O1033">
        <f>IF($A1033="","",IF($B1033&lt;&gt;"",$B1033,$O1032))</f>
        <v/>
      </c>
    </row>
    <row r="1034">
      <c r="N1034">
        <f>IF($A1034="","",IF(COUNTIFS($A$2:$A1034,$A1034,$C$2:$C1034,$C1034)=1,1,0))</f>
        <v/>
      </c>
      <c r="O1034">
        <f>IF($A1034="","",IF($B1034&lt;&gt;"",$B1034,$O1033))</f>
        <v/>
      </c>
    </row>
    <row r="1035">
      <c r="N1035">
        <f>IF($A1035="","",IF(COUNTIFS($A$2:$A1035,$A1035,$C$2:$C1035,$C1035)=1,1,0))</f>
        <v/>
      </c>
      <c r="O1035">
        <f>IF($A1035="","",IF($B1035&lt;&gt;"",$B1035,$O1034))</f>
        <v/>
      </c>
    </row>
    <row r="1036">
      <c r="N1036">
        <f>IF($A1036="","",IF(COUNTIFS($A$2:$A1036,$A1036,$C$2:$C1036,$C1036)=1,1,0))</f>
        <v/>
      </c>
      <c r="O1036">
        <f>IF($A1036="","",IF($B1036&lt;&gt;"",$B1036,$O1035))</f>
        <v/>
      </c>
    </row>
    <row r="1037">
      <c r="N1037">
        <f>IF($A1037="","",IF(COUNTIFS($A$2:$A1037,$A1037,$C$2:$C1037,$C1037)=1,1,0))</f>
        <v/>
      </c>
      <c r="O1037">
        <f>IF($A1037="","",IF($B1037&lt;&gt;"",$B1037,$O1036))</f>
        <v/>
      </c>
    </row>
    <row r="1038">
      <c r="N1038">
        <f>IF($A1038="","",IF(COUNTIFS($A$2:$A1038,$A1038,$C$2:$C1038,$C1038)=1,1,0))</f>
        <v/>
      </c>
      <c r="O1038">
        <f>IF($A1038="","",IF($B1038&lt;&gt;"",$B1038,$O1037))</f>
        <v/>
      </c>
    </row>
    <row r="1039">
      <c r="N1039">
        <f>IF($A1039="","",IF(COUNTIFS($A$2:$A1039,$A1039,$C$2:$C1039,$C1039)=1,1,0))</f>
        <v/>
      </c>
      <c r="O1039">
        <f>IF($A1039="","",IF($B1039&lt;&gt;"",$B1039,$O1038))</f>
        <v/>
      </c>
    </row>
    <row r="1040">
      <c r="N1040">
        <f>IF($A1040="","",IF(COUNTIFS($A$2:$A1040,$A1040,$C$2:$C1040,$C1040)=1,1,0))</f>
        <v/>
      </c>
      <c r="O1040">
        <f>IF($A1040="","",IF($B1040&lt;&gt;"",$B1040,$O1039))</f>
        <v/>
      </c>
    </row>
    <row r="1041">
      <c r="N1041">
        <f>IF($A1041="","",IF(COUNTIFS($A$2:$A1041,$A1041,$C$2:$C1041,$C1041)=1,1,0))</f>
        <v/>
      </c>
      <c r="O1041">
        <f>IF($A1041="","",IF($B1041&lt;&gt;"",$B1041,$O1040))</f>
        <v/>
      </c>
    </row>
    <row r="1042">
      <c r="N1042">
        <f>IF($A1042="","",IF(COUNTIFS($A$2:$A1042,$A1042,$C$2:$C1042,$C1042)=1,1,0))</f>
        <v/>
      </c>
      <c r="O1042">
        <f>IF($A1042="","",IF($B1042&lt;&gt;"",$B1042,$O1041))</f>
        <v/>
      </c>
    </row>
    <row r="1043">
      <c r="N1043">
        <f>IF($A1043="","",IF(COUNTIFS($A$2:$A1043,$A1043,$C$2:$C1043,$C1043)=1,1,0))</f>
        <v/>
      </c>
      <c r="O1043">
        <f>IF($A1043="","",IF($B1043&lt;&gt;"",$B1043,$O1042))</f>
        <v/>
      </c>
    </row>
    <row r="1044">
      <c r="N1044">
        <f>IF($A1044="","",IF(COUNTIFS($A$2:$A1044,$A1044,$C$2:$C1044,$C1044)=1,1,0))</f>
        <v/>
      </c>
      <c r="O1044">
        <f>IF($A1044="","",IF($B1044&lt;&gt;"",$B1044,$O1043))</f>
        <v/>
      </c>
    </row>
    <row r="1045">
      <c r="N1045">
        <f>IF($A1045="","",IF(COUNTIFS($A$2:$A1045,$A1045,$C$2:$C1045,$C1045)=1,1,0))</f>
        <v/>
      </c>
      <c r="O1045">
        <f>IF($A1045="","",IF($B1045&lt;&gt;"",$B1045,$O1044))</f>
        <v/>
      </c>
    </row>
    <row r="1046">
      <c r="N1046">
        <f>IF($A1046="","",IF(COUNTIFS($A$2:$A1046,$A1046,$C$2:$C1046,$C1046)=1,1,0))</f>
        <v/>
      </c>
      <c r="O1046">
        <f>IF($A1046="","",IF($B1046&lt;&gt;"",$B1046,$O1045))</f>
        <v/>
      </c>
    </row>
    <row r="1047">
      <c r="N1047">
        <f>IF($A1047="","",IF(COUNTIFS($A$2:$A1047,$A1047,$C$2:$C1047,$C1047)=1,1,0))</f>
        <v/>
      </c>
      <c r="O1047">
        <f>IF($A1047="","",IF($B1047&lt;&gt;"",$B1047,$O1046))</f>
        <v/>
      </c>
    </row>
    <row r="1048">
      <c r="N1048">
        <f>IF($A1048="","",IF(COUNTIFS($A$2:$A1048,$A1048,$C$2:$C1048,$C1048)=1,1,0))</f>
        <v/>
      </c>
      <c r="O1048">
        <f>IF($A1048="","",IF($B1048&lt;&gt;"",$B1048,$O1047))</f>
        <v/>
      </c>
    </row>
    <row r="1049">
      <c r="N1049">
        <f>IF($A1049="","",IF(COUNTIFS($A$2:$A1049,$A1049,$C$2:$C1049,$C1049)=1,1,0))</f>
        <v/>
      </c>
      <c r="O1049">
        <f>IF($A1049="","",IF($B1049&lt;&gt;"",$B1049,$O1048))</f>
        <v/>
      </c>
    </row>
    <row r="1050">
      <c r="N1050">
        <f>IF($A1050="","",IF(COUNTIFS($A$2:$A1050,$A1050,$C$2:$C1050,$C1050)=1,1,0))</f>
        <v/>
      </c>
      <c r="O1050">
        <f>IF($A1050="","",IF($B1050&lt;&gt;"",$B1050,$O1049))</f>
        <v/>
      </c>
    </row>
    <row r="1051">
      <c r="N1051">
        <f>IF($A1051="","",IF(COUNTIFS($A$2:$A1051,$A1051,$C$2:$C1051,$C1051)=1,1,0))</f>
        <v/>
      </c>
      <c r="O1051">
        <f>IF($A1051="","",IF($B1051&lt;&gt;"",$B1051,$O1050))</f>
        <v/>
      </c>
    </row>
    <row r="1052">
      <c r="N1052">
        <f>IF($A1052="","",IF(COUNTIFS($A$2:$A1052,$A1052,$C$2:$C1052,$C1052)=1,1,0))</f>
        <v/>
      </c>
      <c r="O1052">
        <f>IF($A1052="","",IF($B1052&lt;&gt;"",$B1052,$O1051))</f>
        <v/>
      </c>
    </row>
    <row r="1053">
      <c r="N1053">
        <f>IF($A1053="","",IF(COUNTIFS($A$2:$A1053,$A1053,$C$2:$C1053,$C1053)=1,1,0))</f>
        <v/>
      </c>
      <c r="O1053">
        <f>IF($A1053="","",IF($B1053&lt;&gt;"",$B1053,$O1052))</f>
        <v/>
      </c>
    </row>
    <row r="1054">
      <c r="N1054">
        <f>IF($A1054="","",IF(COUNTIFS($A$2:$A1054,$A1054,$C$2:$C1054,$C1054)=1,1,0))</f>
        <v/>
      </c>
      <c r="O1054">
        <f>IF($A1054="","",IF($B1054&lt;&gt;"",$B1054,$O1053))</f>
        <v/>
      </c>
    </row>
    <row r="1055">
      <c r="N1055">
        <f>IF($A1055="","",IF(COUNTIFS($A$2:$A1055,$A1055,$C$2:$C1055,$C1055)=1,1,0))</f>
        <v/>
      </c>
      <c r="O1055">
        <f>IF($A1055="","",IF($B1055&lt;&gt;"",$B1055,$O1054))</f>
        <v/>
      </c>
    </row>
    <row r="1056">
      <c r="N1056">
        <f>IF($A1056="","",IF(COUNTIFS($A$2:$A1056,$A1056,$C$2:$C1056,$C1056)=1,1,0))</f>
        <v/>
      </c>
      <c r="O1056">
        <f>IF($A1056="","",IF($B1056&lt;&gt;"",$B1056,$O1055))</f>
        <v/>
      </c>
    </row>
    <row r="1057">
      <c r="N1057">
        <f>IF($A1057="","",IF(COUNTIFS($A$2:$A1057,$A1057,$C$2:$C1057,$C1057)=1,1,0))</f>
        <v/>
      </c>
      <c r="O1057">
        <f>IF($A1057="","",IF($B1057&lt;&gt;"",$B1057,$O1056))</f>
        <v/>
      </c>
    </row>
    <row r="1058">
      <c r="N1058">
        <f>IF($A1058="","",IF(COUNTIFS($A$2:$A1058,$A1058,$C$2:$C1058,$C1058)=1,1,0))</f>
        <v/>
      </c>
      <c r="O1058">
        <f>IF($A1058="","",IF($B1058&lt;&gt;"",$B1058,$O1057))</f>
        <v/>
      </c>
    </row>
    <row r="1059">
      <c r="N1059">
        <f>IF($A1059="","",IF(COUNTIFS($A$2:$A1059,$A1059,$C$2:$C1059,$C1059)=1,1,0))</f>
        <v/>
      </c>
      <c r="O1059">
        <f>IF($A1059="","",IF($B1059&lt;&gt;"",$B1059,$O1058))</f>
        <v/>
      </c>
    </row>
    <row r="1060">
      <c r="N1060">
        <f>IF($A1060="","",IF(COUNTIFS($A$2:$A1060,$A1060,$C$2:$C1060,$C1060)=1,1,0))</f>
        <v/>
      </c>
      <c r="O1060">
        <f>IF($A1060="","",IF($B1060&lt;&gt;"",$B1060,$O1059))</f>
        <v/>
      </c>
    </row>
    <row r="1061">
      <c r="N1061">
        <f>IF($A1061="","",IF(COUNTIFS($A$2:$A1061,$A1061,$C$2:$C1061,$C1061)=1,1,0))</f>
        <v/>
      </c>
      <c r="O1061">
        <f>IF($A1061="","",IF($B1061&lt;&gt;"",$B1061,$O1060))</f>
        <v/>
      </c>
    </row>
    <row r="1062">
      <c r="N1062">
        <f>IF($A1062="","",IF(COUNTIFS($A$2:$A1062,$A1062,$C$2:$C1062,$C1062)=1,1,0))</f>
        <v/>
      </c>
      <c r="O1062">
        <f>IF($A1062="","",IF($B1062&lt;&gt;"",$B1062,$O1061))</f>
        <v/>
      </c>
    </row>
    <row r="1063">
      <c r="N1063">
        <f>IF($A1063="","",IF(COUNTIFS($A$2:$A1063,$A1063,$C$2:$C1063,$C1063)=1,1,0))</f>
        <v/>
      </c>
      <c r="O1063">
        <f>IF($A1063="","",IF($B1063&lt;&gt;"",$B1063,$O1062))</f>
        <v/>
      </c>
    </row>
    <row r="1064">
      <c r="N1064">
        <f>IF($A1064="","",IF(COUNTIFS($A$2:$A1064,$A1064,$C$2:$C1064,$C1064)=1,1,0))</f>
        <v/>
      </c>
      <c r="O1064">
        <f>IF($A1064="","",IF($B1064&lt;&gt;"",$B1064,$O1063))</f>
        <v/>
      </c>
    </row>
    <row r="1065">
      <c r="N1065">
        <f>IF($A1065="","",IF(COUNTIFS($A$2:$A1065,$A1065,$C$2:$C1065,$C1065)=1,1,0))</f>
        <v/>
      </c>
      <c r="O1065">
        <f>IF($A1065="","",IF($B1065&lt;&gt;"",$B1065,$O1064))</f>
        <v/>
      </c>
    </row>
    <row r="1066">
      <c r="N1066">
        <f>IF($A1066="","",IF(COUNTIFS($A$2:$A1066,$A1066,$C$2:$C1066,$C1066)=1,1,0))</f>
        <v/>
      </c>
      <c r="O1066">
        <f>IF($A1066="","",IF($B1066&lt;&gt;"",$B1066,$O1065))</f>
        <v/>
      </c>
    </row>
    <row r="1067">
      <c r="N1067">
        <f>IF($A1067="","",IF(COUNTIFS($A$2:$A1067,$A1067,$C$2:$C1067,$C1067)=1,1,0))</f>
        <v/>
      </c>
      <c r="O1067">
        <f>IF($A1067="","",IF($B1067&lt;&gt;"",$B1067,$O1066))</f>
        <v/>
      </c>
    </row>
    <row r="1068">
      <c r="N1068">
        <f>IF($A1068="","",IF(COUNTIFS($A$2:$A1068,$A1068,$C$2:$C1068,$C1068)=1,1,0))</f>
        <v/>
      </c>
      <c r="O1068">
        <f>IF($A1068="","",IF($B1068&lt;&gt;"",$B1068,$O1067))</f>
        <v/>
      </c>
    </row>
    <row r="1069">
      <c r="N1069">
        <f>IF($A1069="","",IF(COUNTIFS($A$2:$A1069,$A1069,$C$2:$C1069,$C1069)=1,1,0))</f>
        <v/>
      </c>
      <c r="O1069">
        <f>IF($A1069="","",IF($B1069&lt;&gt;"",$B1069,$O1068))</f>
        <v/>
      </c>
    </row>
    <row r="1070">
      <c r="N1070">
        <f>IF($A1070="","",IF(COUNTIFS($A$2:$A1070,$A1070,$C$2:$C1070,$C1070)=1,1,0))</f>
        <v/>
      </c>
      <c r="O1070">
        <f>IF($A1070="","",IF($B1070&lt;&gt;"",$B1070,$O1069))</f>
        <v/>
      </c>
    </row>
    <row r="1071">
      <c r="N1071">
        <f>IF($A1071="","",IF(COUNTIFS($A$2:$A1071,$A1071,$C$2:$C1071,$C1071)=1,1,0))</f>
        <v/>
      </c>
      <c r="O1071">
        <f>IF($A1071="","",IF($B1071&lt;&gt;"",$B1071,$O1070))</f>
        <v/>
      </c>
    </row>
    <row r="1072">
      <c r="N1072">
        <f>IF($A1072="","",IF(COUNTIFS($A$2:$A1072,$A1072,$C$2:$C1072,$C1072)=1,1,0))</f>
        <v/>
      </c>
      <c r="O1072">
        <f>IF($A1072="","",IF($B1072&lt;&gt;"",$B1072,$O1071))</f>
        <v/>
      </c>
    </row>
    <row r="1073">
      <c r="N1073">
        <f>IF($A1073="","",IF(COUNTIFS($A$2:$A1073,$A1073,$C$2:$C1073,$C1073)=1,1,0))</f>
        <v/>
      </c>
      <c r="O1073">
        <f>IF($A1073="","",IF($B1073&lt;&gt;"",$B1073,$O1072))</f>
        <v/>
      </c>
    </row>
    <row r="1074">
      <c r="N1074">
        <f>IF($A1074="","",IF(COUNTIFS($A$2:$A1074,$A1074,$C$2:$C1074,$C1074)=1,1,0))</f>
        <v/>
      </c>
      <c r="O1074">
        <f>IF($A1074="","",IF($B1074&lt;&gt;"",$B1074,$O1073))</f>
        <v/>
      </c>
    </row>
    <row r="1075">
      <c r="N1075">
        <f>IF($A1075="","",IF(COUNTIFS($A$2:$A1075,$A1075,$C$2:$C1075,$C1075)=1,1,0))</f>
        <v/>
      </c>
      <c r="O1075">
        <f>IF($A1075="","",IF($B1075&lt;&gt;"",$B1075,$O1074))</f>
        <v/>
      </c>
    </row>
    <row r="1076">
      <c r="N1076">
        <f>IF($A1076="","",IF(COUNTIFS($A$2:$A1076,$A1076,$C$2:$C1076,$C1076)=1,1,0))</f>
        <v/>
      </c>
      <c r="O1076">
        <f>IF($A1076="","",IF($B1076&lt;&gt;"",$B1076,$O1075))</f>
        <v/>
      </c>
    </row>
    <row r="1077">
      <c r="N1077">
        <f>IF($A1077="","",IF(COUNTIFS($A$2:$A1077,$A1077,$C$2:$C1077,$C1077)=1,1,0))</f>
        <v/>
      </c>
      <c r="O1077">
        <f>IF($A1077="","",IF($B1077&lt;&gt;"",$B1077,$O1076))</f>
        <v/>
      </c>
    </row>
    <row r="1078">
      <c r="N1078">
        <f>IF($A1078="","",IF(COUNTIFS($A$2:$A1078,$A1078,$C$2:$C1078,$C1078)=1,1,0))</f>
        <v/>
      </c>
      <c r="O1078">
        <f>IF($A1078="","",IF($B1078&lt;&gt;"",$B1078,$O1077))</f>
        <v/>
      </c>
    </row>
    <row r="1079">
      <c r="N1079">
        <f>IF($A1079="","",IF(COUNTIFS($A$2:$A1079,$A1079,$C$2:$C1079,$C1079)=1,1,0))</f>
        <v/>
      </c>
      <c r="O1079">
        <f>IF($A1079="","",IF($B1079&lt;&gt;"",$B1079,$O1078))</f>
        <v/>
      </c>
    </row>
    <row r="1080">
      <c r="N1080">
        <f>IF($A1080="","",IF(COUNTIFS($A$2:$A1080,$A1080,$C$2:$C1080,$C1080)=1,1,0))</f>
        <v/>
      </c>
      <c r="O1080">
        <f>IF($A1080="","",IF($B1080&lt;&gt;"",$B1080,$O1079))</f>
        <v/>
      </c>
    </row>
    <row r="1081">
      <c r="N1081">
        <f>IF($A1081="","",IF(COUNTIFS($A$2:$A1081,$A1081,$C$2:$C1081,$C1081)=1,1,0))</f>
        <v/>
      </c>
      <c r="O1081">
        <f>IF($A1081="","",IF($B1081&lt;&gt;"",$B1081,$O1080))</f>
        <v/>
      </c>
    </row>
    <row r="1082">
      <c r="N1082">
        <f>IF($A1082="","",IF(COUNTIFS($A$2:$A1082,$A1082,$C$2:$C1082,$C1082)=1,1,0))</f>
        <v/>
      </c>
      <c r="O1082">
        <f>IF($A1082="","",IF($B1082&lt;&gt;"",$B1082,$O1081))</f>
        <v/>
      </c>
    </row>
    <row r="1083">
      <c r="N1083">
        <f>IF($A1083="","",IF(COUNTIFS($A$2:$A1083,$A1083,$C$2:$C1083,$C1083)=1,1,0))</f>
        <v/>
      </c>
      <c r="O1083">
        <f>IF($A1083="","",IF($B1083&lt;&gt;"",$B1083,$O1082))</f>
        <v/>
      </c>
    </row>
    <row r="1084">
      <c r="N1084">
        <f>IF($A1084="","",IF(COUNTIFS($A$2:$A1084,$A1084,$C$2:$C1084,$C1084)=1,1,0))</f>
        <v/>
      </c>
      <c r="O1084">
        <f>IF($A1084="","",IF($B1084&lt;&gt;"",$B1084,$O1083))</f>
        <v/>
      </c>
    </row>
    <row r="1085">
      <c r="N1085">
        <f>IF($A1085="","",IF(COUNTIFS($A$2:$A1085,$A1085,$C$2:$C1085,$C1085)=1,1,0))</f>
        <v/>
      </c>
      <c r="O1085">
        <f>IF($A1085="","",IF($B1085&lt;&gt;"",$B1085,$O1084))</f>
        <v/>
      </c>
    </row>
    <row r="1086">
      <c r="N1086">
        <f>IF($A1086="","",IF(COUNTIFS($A$2:$A1086,$A1086,$C$2:$C1086,$C1086)=1,1,0))</f>
        <v/>
      </c>
      <c r="O1086">
        <f>IF($A1086="","",IF($B1086&lt;&gt;"",$B1086,$O1085))</f>
        <v/>
      </c>
    </row>
    <row r="1087">
      <c r="N1087">
        <f>IF($A1087="","",IF(COUNTIFS($A$2:$A1087,$A1087,$C$2:$C1087,$C1087)=1,1,0))</f>
        <v/>
      </c>
      <c r="O1087">
        <f>IF($A1087="","",IF($B1087&lt;&gt;"",$B1087,$O1086))</f>
        <v/>
      </c>
    </row>
    <row r="1088">
      <c r="N1088">
        <f>IF($A1088="","",IF(COUNTIFS($A$2:$A1088,$A1088,$C$2:$C1088,$C1088)=1,1,0))</f>
        <v/>
      </c>
      <c r="O1088">
        <f>IF($A1088="","",IF($B1088&lt;&gt;"",$B1088,$O1087))</f>
        <v/>
      </c>
    </row>
    <row r="1089">
      <c r="N1089">
        <f>IF($A1089="","",IF(COUNTIFS($A$2:$A1089,$A1089,$C$2:$C1089,$C1089)=1,1,0))</f>
        <v/>
      </c>
      <c r="O1089">
        <f>IF($A1089="","",IF($B1089&lt;&gt;"",$B1089,$O1088))</f>
        <v/>
      </c>
    </row>
    <row r="1090">
      <c r="N1090">
        <f>IF($A1090="","",IF(COUNTIFS($A$2:$A1090,$A1090,$C$2:$C1090,$C1090)=1,1,0))</f>
        <v/>
      </c>
      <c r="O1090">
        <f>IF($A1090="","",IF($B1090&lt;&gt;"",$B1090,$O1089))</f>
        <v/>
      </c>
    </row>
    <row r="1091">
      <c r="N1091">
        <f>IF($A1091="","",IF(COUNTIFS($A$2:$A1091,$A1091,$C$2:$C1091,$C1091)=1,1,0))</f>
        <v/>
      </c>
      <c r="O1091">
        <f>IF($A1091="","",IF($B1091&lt;&gt;"",$B1091,$O1090))</f>
        <v/>
      </c>
    </row>
    <row r="1092">
      <c r="N1092">
        <f>IF($A1092="","",IF(COUNTIFS($A$2:$A1092,$A1092,$C$2:$C1092,$C1092)=1,1,0))</f>
        <v/>
      </c>
      <c r="O1092">
        <f>IF($A1092="","",IF($B1092&lt;&gt;"",$B1092,$O1091))</f>
        <v/>
      </c>
    </row>
    <row r="1093">
      <c r="N1093">
        <f>IF($A1093="","",IF(COUNTIFS($A$2:$A1093,$A1093,$C$2:$C1093,$C1093)=1,1,0))</f>
        <v/>
      </c>
      <c r="O1093">
        <f>IF($A1093="","",IF($B1093&lt;&gt;"",$B1093,$O1092))</f>
        <v/>
      </c>
    </row>
    <row r="1094">
      <c r="N1094">
        <f>IF($A1094="","",IF(COUNTIFS($A$2:$A1094,$A1094,$C$2:$C1094,$C1094)=1,1,0))</f>
        <v/>
      </c>
      <c r="O1094">
        <f>IF($A1094="","",IF($B1094&lt;&gt;"",$B1094,$O1093))</f>
        <v/>
      </c>
    </row>
    <row r="1095">
      <c r="N1095">
        <f>IF($A1095="","",IF(COUNTIFS($A$2:$A1095,$A1095,$C$2:$C1095,$C1095)=1,1,0))</f>
        <v/>
      </c>
      <c r="O1095">
        <f>IF($A1095="","",IF($B1095&lt;&gt;"",$B1095,$O1094))</f>
        <v/>
      </c>
    </row>
    <row r="1096">
      <c r="N1096">
        <f>IF($A1096="","",IF(COUNTIFS($A$2:$A1096,$A1096,$C$2:$C1096,$C1096)=1,1,0))</f>
        <v/>
      </c>
      <c r="O1096">
        <f>IF($A1096="","",IF($B1096&lt;&gt;"",$B1096,$O1095))</f>
        <v/>
      </c>
    </row>
    <row r="1097">
      <c r="N1097">
        <f>IF($A1097="","",IF(COUNTIFS($A$2:$A1097,$A1097,$C$2:$C1097,$C1097)=1,1,0))</f>
        <v/>
      </c>
      <c r="O1097">
        <f>IF($A1097="","",IF($B1097&lt;&gt;"",$B1097,$O1096))</f>
        <v/>
      </c>
    </row>
    <row r="1098">
      <c r="N1098">
        <f>IF($A1098="","",IF(COUNTIFS($A$2:$A1098,$A1098,$C$2:$C1098,$C1098)=1,1,0))</f>
        <v/>
      </c>
      <c r="O1098">
        <f>IF($A1098="","",IF($B1098&lt;&gt;"",$B1098,$O1097))</f>
        <v/>
      </c>
    </row>
    <row r="1099">
      <c r="N1099">
        <f>IF($A1099="","",IF(COUNTIFS($A$2:$A1099,$A1099,$C$2:$C1099,$C1099)=1,1,0))</f>
        <v/>
      </c>
      <c r="O1099">
        <f>IF($A1099="","",IF($B1099&lt;&gt;"",$B1099,$O1098))</f>
        <v/>
      </c>
    </row>
    <row r="1100">
      <c r="N1100">
        <f>IF($A1100="","",IF(COUNTIFS($A$2:$A1100,$A1100,$C$2:$C1100,$C1100)=1,1,0))</f>
        <v/>
      </c>
      <c r="O1100">
        <f>IF($A1100="","",IF($B1100&lt;&gt;"",$B1100,$O1099))</f>
        <v/>
      </c>
    </row>
    <row r="1101">
      <c r="N1101">
        <f>IF($A1101="","",IF(COUNTIFS($A$2:$A1101,$A1101,$C$2:$C1101,$C1101)=1,1,0))</f>
        <v/>
      </c>
      <c r="O1101">
        <f>IF($A1101="","",IF($B1101&lt;&gt;"",$B1101,$O1100))</f>
        <v/>
      </c>
    </row>
    <row r="1102">
      <c r="N1102">
        <f>IF($A1102="","",IF(COUNTIFS($A$2:$A1102,$A1102,$C$2:$C1102,$C1102)=1,1,0))</f>
        <v/>
      </c>
      <c r="O1102">
        <f>IF($A1102="","",IF($B1102&lt;&gt;"",$B1102,$O1101))</f>
        <v/>
      </c>
    </row>
    <row r="1103">
      <c r="N1103">
        <f>IF($A1103="","",IF(COUNTIFS($A$2:$A1103,$A1103,$C$2:$C1103,$C1103)=1,1,0))</f>
        <v/>
      </c>
      <c r="O1103">
        <f>IF($A1103="","",IF($B1103&lt;&gt;"",$B1103,$O1102))</f>
        <v/>
      </c>
    </row>
    <row r="1104">
      <c r="N1104">
        <f>IF($A1104="","",IF(COUNTIFS($A$2:$A1104,$A1104,$C$2:$C1104,$C1104)=1,1,0))</f>
        <v/>
      </c>
      <c r="O1104">
        <f>IF($A1104="","",IF($B1104&lt;&gt;"",$B1104,$O1103))</f>
        <v/>
      </c>
    </row>
    <row r="1105">
      <c r="N1105">
        <f>IF($A1105="","",IF(COUNTIFS($A$2:$A1105,$A1105,$C$2:$C1105,$C1105)=1,1,0))</f>
        <v/>
      </c>
      <c r="O1105">
        <f>IF($A1105="","",IF($B1105&lt;&gt;"",$B1105,$O1104))</f>
        <v/>
      </c>
    </row>
    <row r="1106">
      <c r="N1106">
        <f>IF($A1106="","",IF(COUNTIFS($A$2:$A1106,$A1106,$C$2:$C1106,$C1106)=1,1,0))</f>
        <v/>
      </c>
      <c r="O1106">
        <f>IF($A1106="","",IF($B1106&lt;&gt;"",$B1106,$O1105))</f>
        <v/>
      </c>
    </row>
    <row r="1107">
      <c r="N1107">
        <f>IF($A1107="","",IF(COUNTIFS($A$2:$A1107,$A1107,$C$2:$C1107,$C1107)=1,1,0))</f>
        <v/>
      </c>
      <c r="O1107">
        <f>IF($A1107="","",IF($B1107&lt;&gt;"",$B1107,$O1106))</f>
        <v/>
      </c>
    </row>
    <row r="1108">
      <c r="N1108">
        <f>IF($A1108="","",IF(COUNTIFS($A$2:$A1108,$A1108,$C$2:$C1108,$C1108)=1,1,0))</f>
        <v/>
      </c>
      <c r="O1108">
        <f>IF($A1108="","",IF($B1108&lt;&gt;"",$B1108,$O1107))</f>
        <v/>
      </c>
    </row>
    <row r="1109">
      <c r="N1109">
        <f>IF($A1109="","",IF(COUNTIFS($A$2:$A1109,$A1109,$C$2:$C1109,$C1109)=1,1,0))</f>
        <v/>
      </c>
      <c r="O1109">
        <f>IF($A1109="","",IF($B1109&lt;&gt;"",$B1109,$O1108))</f>
        <v/>
      </c>
    </row>
    <row r="1110">
      <c r="N1110">
        <f>IF($A1110="","",IF(COUNTIFS($A$2:$A1110,$A1110,$C$2:$C1110,$C1110)=1,1,0))</f>
        <v/>
      </c>
      <c r="O1110">
        <f>IF($A1110="","",IF($B1110&lt;&gt;"",$B1110,$O1109))</f>
        <v/>
      </c>
    </row>
    <row r="1111">
      <c r="N1111">
        <f>IF($A1111="","",IF(COUNTIFS($A$2:$A1111,$A1111,$C$2:$C1111,$C1111)=1,1,0))</f>
        <v/>
      </c>
      <c r="O1111">
        <f>IF($A1111="","",IF($B1111&lt;&gt;"",$B1111,$O1110))</f>
        <v/>
      </c>
    </row>
    <row r="1112">
      <c r="N1112">
        <f>IF($A1112="","",IF(COUNTIFS($A$2:$A1112,$A1112,$C$2:$C1112,$C1112)=1,1,0))</f>
        <v/>
      </c>
      <c r="O1112">
        <f>IF($A1112="","",IF($B1112&lt;&gt;"",$B1112,$O1111))</f>
        <v/>
      </c>
    </row>
    <row r="1113">
      <c r="N1113">
        <f>IF($A1113="","",IF(COUNTIFS($A$2:$A1113,$A1113,$C$2:$C1113,$C1113)=1,1,0))</f>
        <v/>
      </c>
      <c r="O1113">
        <f>IF($A1113="","",IF($B1113&lt;&gt;"",$B1113,$O1112))</f>
        <v/>
      </c>
    </row>
    <row r="1114">
      <c r="N1114">
        <f>IF($A1114="","",IF(COUNTIFS($A$2:$A1114,$A1114,$C$2:$C1114,$C1114)=1,1,0))</f>
        <v/>
      </c>
      <c r="O1114">
        <f>IF($A1114="","",IF($B1114&lt;&gt;"",$B1114,$O1113))</f>
        <v/>
      </c>
    </row>
    <row r="1115">
      <c r="N1115">
        <f>IF($A1115="","",IF(COUNTIFS($A$2:$A1115,$A1115,$C$2:$C1115,$C1115)=1,1,0))</f>
        <v/>
      </c>
      <c r="O1115">
        <f>IF($A1115="","",IF($B1115&lt;&gt;"",$B1115,$O1114))</f>
        <v/>
      </c>
    </row>
    <row r="1116">
      <c r="N1116">
        <f>IF($A1116="","",IF(COUNTIFS($A$2:$A1116,$A1116,$C$2:$C1116,$C1116)=1,1,0))</f>
        <v/>
      </c>
      <c r="O1116">
        <f>IF($A1116="","",IF($B1116&lt;&gt;"",$B1116,$O1115))</f>
        <v/>
      </c>
    </row>
    <row r="1117">
      <c r="N1117">
        <f>IF($A1117="","",IF(COUNTIFS($A$2:$A1117,$A1117,$C$2:$C1117,$C1117)=1,1,0))</f>
        <v/>
      </c>
      <c r="O1117">
        <f>IF($A1117="","",IF($B1117&lt;&gt;"",$B1117,$O1116))</f>
        <v/>
      </c>
    </row>
    <row r="1118">
      <c r="N1118">
        <f>IF($A1118="","",IF(COUNTIFS($A$2:$A1118,$A1118,$C$2:$C1118,$C1118)=1,1,0))</f>
        <v/>
      </c>
      <c r="O1118">
        <f>IF($A1118="","",IF($B1118&lt;&gt;"",$B1118,$O1117))</f>
        <v/>
      </c>
    </row>
    <row r="1119">
      <c r="N1119">
        <f>IF($A1119="","",IF(COUNTIFS($A$2:$A1119,$A1119,$C$2:$C1119,$C1119)=1,1,0))</f>
        <v/>
      </c>
      <c r="O1119">
        <f>IF($A1119="","",IF($B1119&lt;&gt;"",$B1119,$O1118))</f>
        <v/>
      </c>
    </row>
    <row r="1120">
      <c r="N1120">
        <f>IF($A1120="","",IF(COUNTIFS($A$2:$A1120,$A1120,$C$2:$C1120,$C1120)=1,1,0))</f>
        <v/>
      </c>
      <c r="O1120">
        <f>IF($A1120="","",IF($B1120&lt;&gt;"",$B1120,$O1119))</f>
        <v/>
      </c>
    </row>
    <row r="1121">
      <c r="N1121">
        <f>IF($A1121="","",IF(COUNTIFS($A$2:$A1121,$A1121,$C$2:$C1121,$C1121)=1,1,0))</f>
        <v/>
      </c>
      <c r="O1121">
        <f>IF($A1121="","",IF($B1121&lt;&gt;"",$B1121,$O1120))</f>
        <v/>
      </c>
    </row>
    <row r="1122">
      <c r="N1122">
        <f>IF($A1122="","",IF(COUNTIFS($A$2:$A1122,$A1122,$C$2:$C1122,$C1122)=1,1,0))</f>
        <v/>
      </c>
      <c r="O1122">
        <f>IF($A1122="","",IF($B1122&lt;&gt;"",$B1122,$O1121))</f>
        <v/>
      </c>
    </row>
    <row r="1123">
      <c r="N1123">
        <f>IF($A1123="","",IF(COUNTIFS($A$2:$A1123,$A1123,$C$2:$C1123,$C1123)=1,1,0))</f>
        <v/>
      </c>
      <c r="O1123">
        <f>IF($A1123="","",IF($B1123&lt;&gt;"",$B1123,$O1122))</f>
        <v/>
      </c>
    </row>
    <row r="1124">
      <c r="N1124">
        <f>IF($A1124="","",IF(COUNTIFS($A$2:$A1124,$A1124,$C$2:$C1124,$C1124)=1,1,0))</f>
        <v/>
      </c>
      <c r="O1124">
        <f>IF($A1124="","",IF($B1124&lt;&gt;"",$B1124,$O1123))</f>
        <v/>
      </c>
    </row>
    <row r="1125">
      <c r="N1125">
        <f>IF($A1125="","",IF(COUNTIFS($A$2:$A1125,$A1125,$C$2:$C1125,$C1125)=1,1,0))</f>
        <v/>
      </c>
      <c r="O1125">
        <f>IF($A1125="","",IF($B1125&lt;&gt;"",$B1125,$O1124))</f>
        <v/>
      </c>
    </row>
    <row r="1126">
      <c r="N1126">
        <f>IF($A1126="","",IF(COUNTIFS($A$2:$A1126,$A1126,$C$2:$C1126,$C1126)=1,1,0))</f>
        <v/>
      </c>
      <c r="O1126">
        <f>IF($A1126="","",IF($B1126&lt;&gt;"",$B1126,$O1125))</f>
        <v/>
      </c>
    </row>
    <row r="1127">
      <c r="N1127">
        <f>IF($A1127="","",IF(COUNTIFS($A$2:$A1127,$A1127,$C$2:$C1127,$C1127)=1,1,0))</f>
        <v/>
      </c>
      <c r="O1127">
        <f>IF($A1127="","",IF($B1127&lt;&gt;"",$B1127,$O1126))</f>
        <v/>
      </c>
    </row>
    <row r="1128">
      <c r="N1128">
        <f>IF($A1128="","",IF(COUNTIFS($A$2:$A1128,$A1128,$C$2:$C1128,$C1128)=1,1,0))</f>
        <v/>
      </c>
      <c r="O1128">
        <f>IF($A1128="","",IF($B1128&lt;&gt;"",$B1128,$O1127))</f>
        <v/>
      </c>
    </row>
    <row r="1129">
      <c r="N1129">
        <f>IF($A1129="","",IF(COUNTIFS($A$2:$A1129,$A1129,$C$2:$C1129,$C1129)=1,1,0))</f>
        <v/>
      </c>
      <c r="O1129">
        <f>IF($A1129="","",IF($B1129&lt;&gt;"",$B1129,$O1128))</f>
        <v/>
      </c>
    </row>
    <row r="1130">
      <c r="N1130">
        <f>IF($A1130="","",IF(COUNTIFS($A$2:$A1130,$A1130,$C$2:$C1130,$C1130)=1,1,0))</f>
        <v/>
      </c>
      <c r="O1130">
        <f>IF($A1130="","",IF($B1130&lt;&gt;"",$B1130,$O1129))</f>
        <v/>
      </c>
    </row>
    <row r="1131">
      <c r="N1131">
        <f>IF($A1131="","",IF(COUNTIFS($A$2:$A1131,$A1131,$C$2:$C1131,$C1131)=1,1,0))</f>
        <v/>
      </c>
      <c r="O1131">
        <f>IF($A1131="","",IF($B1131&lt;&gt;"",$B1131,$O1130))</f>
        <v/>
      </c>
    </row>
    <row r="1132">
      <c r="N1132">
        <f>IF($A1132="","",IF(COUNTIFS($A$2:$A1132,$A1132,$C$2:$C1132,$C1132)=1,1,0))</f>
        <v/>
      </c>
      <c r="O1132">
        <f>IF($A1132="","",IF($B1132&lt;&gt;"",$B1132,$O1131))</f>
        <v/>
      </c>
    </row>
    <row r="1133">
      <c r="N1133">
        <f>IF($A1133="","",IF(COUNTIFS($A$2:$A1133,$A1133,$C$2:$C1133,$C1133)=1,1,0))</f>
        <v/>
      </c>
      <c r="O1133">
        <f>IF($A1133="","",IF($B1133&lt;&gt;"",$B1133,$O1132))</f>
        <v/>
      </c>
    </row>
    <row r="1134">
      <c r="N1134">
        <f>IF($A1134="","",IF(COUNTIFS($A$2:$A1134,$A1134,$C$2:$C1134,$C1134)=1,1,0))</f>
        <v/>
      </c>
      <c r="O1134">
        <f>IF($A1134="","",IF($B1134&lt;&gt;"",$B1134,$O1133))</f>
        <v/>
      </c>
    </row>
    <row r="1135">
      <c r="N1135">
        <f>IF($A1135="","",IF(COUNTIFS($A$2:$A1135,$A1135,$C$2:$C1135,$C1135)=1,1,0))</f>
        <v/>
      </c>
      <c r="O1135">
        <f>IF($A1135="","",IF($B1135&lt;&gt;"",$B1135,$O1134))</f>
        <v/>
      </c>
    </row>
    <row r="1136">
      <c r="N1136">
        <f>IF($A1136="","",IF(COUNTIFS($A$2:$A1136,$A1136,$C$2:$C1136,$C1136)=1,1,0))</f>
        <v/>
      </c>
      <c r="O1136">
        <f>IF($A1136="","",IF($B1136&lt;&gt;"",$B1136,$O1135))</f>
        <v/>
      </c>
    </row>
    <row r="1137">
      <c r="N1137">
        <f>IF($A1137="","",IF(COUNTIFS($A$2:$A1137,$A1137,$C$2:$C1137,$C1137)=1,1,0))</f>
        <v/>
      </c>
      <c r="O1137">
        <f>IF($A1137="","",IF($B1137&lt;&gt;"",$B1137,$O1136))</f>
        <v/>
      </c>
    </row>
    <row r="1138">
      <c r="N1138">
        <f>IF($A1138="","",IF(COUNTIFS($A$2:$A1138,$A1138,$C$2:$C1138,$C1138)=1,1,0))</f>
        <v/>
      </c>
      <c r="O1138">
        <f>IF($A1138="","",IF($B1138&lt;&gt;"",$B1138,$O1137))</f>
        <v/>
      </c>
    </row>
    <row r="1139">
      <c r="N1139">
        <f>IF($A1139="","",IF(COUNTIFS($A$2:$A1139,$A1139,$C$2:$C1139,$C1139)=1,1,0))</f>
        <v/>
      </c>
      <c r="O1139">
        <f>IF($A1139="","",IF($B1139&lt;&gt;"",$B1139,$O1138))</f>
        <v/>
      </c>
    </row>
    <row r="1140">
      <c r="N1140">
        <f>IF($A1140="","",IF(COUNTIFS($A$2:$A1140,$A1140,$C$2:$C1140,$C1140)=1,1,0))</f>
        <v/>
      </c>
      <c r="O1140">
        <f>IF($A1140="","",IF($B1140&lt;&gt;"",$B1140,$O1139))</f>
        <v/>
      </c>
    </row>
    <row r="1141">
      <c r="N1141">
        <f>IF($A1141="","",IF(COUNTIFS($A$2:$A1141,$A1141,$C$2:$C1141,$C1141)=1,1,0))</f>
        <v/>
      </c>
      <c r="O1141">
        <f>IF($A1141="","",IF($B1141&lt;&gt;"",$B1141,$O1140))</f>
        <v/>
      </c>
    </row>
    <row r="1142">
      <c r="N1142">
        <f>IF($A1142="","",IF(COUNTIFS($A$2:$A1142,$A1142,$C$2:$C1142,$C1142)=1,1,0))</f>
        <v/>
      </c>
      <c r="O1142">
        <f>IF($A1142="","",IF($B1142&lt;&gt;"",$B1142,$O1141))</f>
        <v/>
      </c>
    </row>
    <row r="1143">
      <c r="N1143">
        <f>IF($A1143="","",IF(COUNTIFS($A$2:$A1143,$A1143,$C$2:$C1143,$C1143)=1,1,0))</f>
        <v/>
      </c>
      <c r="O1143">
        <f>IF($A1143="","",IF($B1143&lt;&gt;"",$B1143,$O1142))</f>
        <v/>
      </c>
    </row>
    <row r="1144">
      <c r="N1144">
        <f>IF($A1144="","",IF(COUNTIFS($A$2:$A1144,$A1144,$C$2:$C1144,$C1144)=1,1,0))</f>
        <v/>
      </c>
      <c r="O1144">
        <f>IF($A1144="","",IF($B1144&lt;&gt;"",$B1144,$O1143))</f>
        <v/>
      </c>
    </row>
    <row r="1145">
      <c r="N1145">
        <f>IF($A1145="","",IF(COUNTIFS($A$2:$A1145,$A1145,$C$2:$C1145,$C1145)=1,1,0))</f>
        <v/>
      </c>
      <c r="O1145">
        <f>IF($A1145="","",IF($B1145&lt;&gt;"",$B1145,$O1144))</f>
        <v/>
      </c>
    </row>
    <row r="1146">
      <c r="N1146">
        <f>IF($A1146="","",IF(COUNTIFS($A$2:$A1146,$A1146,$C$2:$C1146,$C1146)=1,1,0))</f>
        <v/>
      </c>
      <c r="O1146">
        <f>IF($A1146="","",IF($B1146&lt;&gt;"",$B1146,$O1145))</f>
        <v/>
      </c>
    </row>
    <row r="1147">
      <c r="N1147">
        <f>IF($A1147="","",IF(COUNTIFS($A$2:$A1147,$A1147,$C$2:$C1147,$C1147)=1,1,0))</f>
        <v/>
      </c>
      <c r="O1147">
        <f>IF($A1147="","",IF($B1147&lt;&gt;"",$B1147,$O1146))</f>
        <v/>
      </c>
    </row>
    <row r="1148">
      <c r="N1148">
        <f>IF($A1148="","",IF(COUNTIFS($A$2:$A1148,$A1148,$C$2:$C1148,$C1148)=1,1,0))</f>
        <v/>
      </c>
      <c r="O1148">
        <f>IF($A1148="","",IF($B1148&lt;&gt;"",$B1148,$O1147))</f>
        <v/>
      </c>
    </row>
    <row r="1149">
      <c r="N1149">
        <f>IF($A1149="","",IF(COUNTIFS($A$2:$A1149,$A1149,$C$2:$C1149,$C1149)=1,1,0))</f>
        <v/>
      </c>
      <c r="O1149">
        <f>IF($A1149="","",IF($B1149&lt;&gt;"",$B1149,$O1148))</f>
        <v/>
      </c>
    </row>
    <row r="1150">
      <c r="N1150">
        <f>IF($A1150="","",IF(COUNTIFS($A$2:$A1150,$A1150,$C$2:$C1150,$C1150)=1,1,0))</f>
        <v/>
      </c>
      <c r="O1150">
        <f>IF($A1150="","",IF($B1150&lt;&gt;"",$B1150,$O1149))</f>
        <v/>
      </c>
    </row>
    <row r="1151">
      <c r="N1151">
        <f>IF($A1151="","",IF(COUNTIFS($A$2:$A1151,$A1151,$C$2:$C1151,$C1151)=1,1,0))</f>
        <v/>
      </c>
      <c r="O1151">
        <f>IF($A1151="","",IF($B1151&lt;&gt;"",$B1151,$O1150))</f>
        <v/>
      </c>
    </row>
    <row r="1152">
      <c r="N1152">
        <f>IF($A1152="","",IF(COUNTIFS($A$2:$A1152,$A1152,$C$2:$C1152,$C1152)=1,1,0))</f>
        <v/>
      </c>
      <c r="O1152">
        <f>IF($A1152="","",IF($B1152&lt;&gt;"",$B1152,$O1151))</f>
        <v/>
      </c>
    </row>
    <row r="1153">
      <c r="N1153">
        <f>IF($A1153="","",IF(COUNTIFS($A$2:$A1153,$A1153,$C$2:$C1153,$C1153)=1,1,0))</f>
        <v/>
      </c>
      <c r="O1153">
        <f>IF($A1153="","",IF($B1153&lt;&gt;"",$B1153,$O1152))</f>
        <v/>
      </c>
    </row>
    <row r="1154">
      <c r="N1154">
        <f>IF($A1154="","",IF(COUNTIFS($A$2:$A1154,$A1154,$C$2:$C1154,$C1154)=1,1,0))</f>
        <v/>
      </c>
      <c r="O1154">
        <f>IF($A1154="","",IF($B1154&lt;&gt;"",$B1154,$O1153))</f>
        <v/>
      </c>
    </row>
    <row r="1155">
      <c r="N1155">
        <f>IF($A1155="","",IF(COUNTIFS($A$2:$A1155,$A1155,$C$2:$C1155,$C1155)=1,1,0))</f>
        <v/>
      </c>
      <c r="O1155">
        <f>IF($A1155="","",IF($B1155&lt;&gt;"",$B1155,$O1154))</f>
        <v/>
      </c>
    </row>
    <row r="1156">
      <c r="N1156">
        <f>IF($A1156="","",IF(COUNTIFS($A$2:$A1156,$A1156,$C$2:$C1156,$C1156)=1,1,0))</f>
        <v/>
      </c>
      <c r="O1156">
        <f>IF($A1156="","",IF($B1156&lt;&gt;"",$B1156,$O1155))</f>
        <v/>
      </c>
    </row>
    <row r="1157">
      <c r="N1157">
        <f>IF($A1157="","",IF(COUNTIFS($A$2:$A1157,$A1157,$C$2:$C1157,$C1157)=1,1,0))</f>
        <v/>
      </c>
      <c r="O1157">
        <f>IF($A1157="","",IF($B1157&lt;&gt;"",$B1157,$O1156))</f>
        <v/>
      </c>
    </row>
    <row r="1158">
      <c r="N1158">
        <f>IF($A1158="","",IF(COUNTIFS($A$2:$A1158,$A1158,$C$2:$C1158,$C1158)=1,1,0))</f>
        <v/>
      </c>
      <c r="O1158">
        <f>IF($A1158="","",IF($B1158&lt;&gt;"",$B1158,$O1157))</f>
        <v/>
      </c>
    </row>
    <row r="1159">
      <c r="N1159">
        <f>IF($A1159="","",IF(COUNTIFS($A$2:$A1159,$A1159,$C$2:$C1159,$C1159)=1,1,0))</f>
        <v/>
      </c>
      <c r="O1159">
        <f>IF($A1159="","",IF($B1159&lt;&gt;"",$B1159,$O1158))</f>
        <v/>
      </c>
    </row>
    <row r="1160">
      <c r="N1160">
        <f>IF($A1160="","",IF(COUNTIFS($A$2:$A1160,$A1160,$C$2:$C1160,$C1160)=1,1,0))</f>
        <v/>
      </c>
      <c r="O1160">
        <f>IF($A1160="","",IF($B1160&lt;&gt;"",$B1160,$O1159))</f>
        <v/>
      </c>
    </row>
    <row r="1161">
      <c r="N1161">
        <f>IF($A1161="","",IF(COUNTIFS($A$2:$A1161,$A1161,$C$2:$C1161,$C1161)=1,1,0))</f>
        <v/>
      </c>
      <c r="O1161">
        <f>IF($A1161="","",IF($B1161&lt;&gt;"",$B1161,$O1160))</f>
        <v/>
      </c>
    </row>
    <row r="1162">
      <c r="N1162">
        <f>IF($A1162="","",IF(COUNTIFS($A$2:$A1162,$A1162,$C$2:$C1162,$C1162)=1,1,0))</f>
        <v/>
      </c>
      <c r="O1162">
        <f>IF($A1162="","",IF($B1162&lt;&gt;"",$B1162,$O1161))</f>
        <v/>
      </c>
    </row>
    <row r="1163">
      <c r="N1163">
        <f>IF($A1163="","",IF(COUNTIFS($A$2:$A1163,$A1163,$C$2:$C1163,$C1163)=1,1,0))</f>
        <v/>
      </c>
      <c r="O1163">
        <f>IF($A1163="","",IF($B1163&lt;&gt;"",$B1163,$O1162))</f>
        <v/>
      </c>
    </row>
    <row r="1164">
      <c r="N1164">
        <f>IF($A1164="","",IF(COUNTIFS($A$2:$A1164,$A1164,$C$2:$C1164,$C1164)=1,1,0))</f>
        <v/>
      </c>
      <c r="O1164">
        <f>IF($A1164="","",IF($B1164&lt;&gt;"",$B1164,$O1163))</f>
        <v/>
      </c>
    </row>
    <row r="1165">
      <c r="N1165">
        <f>IF($A1165="","",IF(COUNTIFS($A$2:$A1165,$A1165,$C$2:$C1165,$C1165)=1,1,0))</f>
        <v/>
      </c>
      <c r="O1165">
        <f>IF($A1165="","",IF($B1165&lt;&gt;"",$B1165,$O1164))</f>
        <v/>
      </c>
    </row>
    <row r="1166">
      <c r="N1166">
        <f>IF($A1166="","",IF(COUNTIFS($A$2:$A1166,$A1166,$C$2:$C1166,$C1166)=1,1,0))</f>
        <v/>
      </c>
      <c r="O1166">
        <f>IF($A1166="","",IF($B1166&lt;&gt;"",$B1166,$O1165))</f>
        <v/>
      </c>
    </row>
    <row r="1167">
      <c r="N1167">
        <f>IF($A1167="","",IF(COUNTIFS($A$2:$A1167,$A1167,$C$2:$C1167,$C1167)=1,1,0))</f>
        <v/>
      </c>
      <c r="O1167">
        <f>IF($A1167="","",IF($B1167&lt;&gt;"",$B1167,$O1166))</f>
        <v/>
      </c>
    </row>
    <row r="1168">
      <c r="N1168">
        <f>IF($A1168="","",IF(COUNTIFS($A$2:$A1168,$A1168,$C$2:$C1168,$C1168)=1,1,0))</f>
        <v/>
      </c>
      <c r="O1168">
        <f>IF($A1168="","",IF($B1168&lt;&gt;"",$B1168,$O1167))</f>
        <v/>
      </c>
    </row>
    <row r="1169">
      <c r="N1169">
        <f>IF($A1169="","",IF(COUNTIFS($A$2:$A1169,$A1169,$C$2:$C1169,$C1169)=1,1,0))</f>
        <v/>
      </c>
      <c r="O1169">
        <f>IF($A1169="","",IF($B1169&lt;&gt;"",$B1169,$O1168))</f>
        <v/>
      </c>
    </row>
    <row r="1170">
      <c r="N1170">
        <f>IF($A1170="","",IF(COUNTIFS($A$2:$A1170,$A1170,$C$2:$C1170,$C1170)=1,1,0))</f>
        <v/>
      </c>
      <c r="O1170">
        <f>IF($A1170="","",IF($B1170&lt;&gt;"",$B1170,$O1169))</f>
        <v/>
      </c>
    </row>
    <row r="1171">
      <c r="N1171">
        <f>IF($A1171="","",IF(COUNTIFS($A$2:$A1171,$A1171,$C$2:$C1171,$C1171)=1,1,0))</f>
        <v/>
      </c>
      <c r="O1171">
        <f>IF($A1171="","",IF($B1171&lt;&gt;"",$B1171,$O1170))</f>
        <v/>
      </c>
    </row>
    <row r="1172">
      <c r="N1172">
        <f>IF($A1172="","",IF(COUNTIFS($A$2:$A1172,$A1172,$C$2:$C1172,$C1172)=1,1,0))</f>
        <v/>
      </c>
      <c r="O1172">
        <f>IF($A1172="","",IF($B1172&lt;&gt;"",$B1172,$O1171))</f>
        <v/>
      </c>
    </row>
    <row r="1173">
      <c r="N1173">
        <f>IF($A1173="","",IF(COUNTIFS($A$2:$A1173,$A1173,$C$2:$C1173,$C1173)=1,1,0))</f>
        <v/>
      </c>
      <c r="O1173">
        <f>IF($A1173="","",IF($B1173&lt;&gt;"",$B1173,$O1172))</f>
        <v/>
      </c>
    </row>
    <row r="1174">
      <c r="N1174">
        <f>IF($A1174="","",IF(COUNTIFS($A$2:$A1174,$A1174,$C$2:$C1174,$C1174)=1,1,0))</f>
        <v/>
      </c>
      <c r="O1174">
        <f>IF($A1174="","",IF($B1174&lt;&gt;"",$B1174,$O1173))</f>
        <v/>
      </c>
    </row>
    <row r="1175">
      <c r="N1175">
        <f>IF($A1175="","",IF(COUNTIFS($A$2:$A1175,$A1175,$C$2:$C1175,$C1175)=1,1,0))</f>
        <v/>
      </c>
      <c r="O1175">
        <f>IF($A1175="","",IF($B1175&lt;&gt;"",$B1175,$O1174))</f>
        <v/>
      </c>
    </row>
    <row r="1176">
      <c r="N1176">
        <f>IF($A1176="","",IF(COUNTIFS($A$2:$A1176,$A1176,$C$2:$C1176,$C1176)=1,1,0))</f>
        <v/>
      </c>
      <c r="O1176">
        <f>IF($A1176="","",IF($B1176&lt;&gt;"",$B1176,$O1175))</f>
        <v/>
      </c>
    </row>
    <row r="1177">
      <c r="N1177">
        <f>IF($A1177="","",IF(COUNTIFS($A$2:$A1177,$A1177,$C$2:$C1177,$C1177)=1,1,0))</f>
        <v/>
      </c>
      <c r="O1177">
        <f>IF($A1177="","",IF($B1177&lt;&gt;"",$B1177,$O1176))</f>
        <v/>
      </c>
    </row>
    <row r="1178">
      <c r="N1178">
        <f>IF($A1178="","",IF(COUNTIFS($A$2:$A1178,$A1178,$C$2:$C1178,$C1178)=1,1,0))</f>
        <v/>
      </c>
      <c r="O1178">
        <f>IF($A1178="","",IF($B1178&lt;&gt;"",$B1178,$O1177))</f>
        <v/>
      </c>
    </row>
    <row r="1179">
      <c r="N1179">
        <f>IF($A1179="","",IF(COUNTIFS($A$2:$A1179,$A1179,$C$2:$C1179,$C1179)=1,1,0))</f>
        <v/>
      </c>
      <c r="O1179">
        <f>IF($A1179="","",IF($B1179&lt;&gt;"",$B1179,$O1178))</f>
        <v/>
      </c>
    </row>
    <row r="1180">
      <c r="N1180">
        <f>IF($A1180="","",IF(COUNTIFS($A$2:$A1180,$A1180,$C$2:$C1180,$C1180)=1,1,0))</f>
        <v/>
      </c>
      <c r="O1180">
        <f>IF($A1180="","",IF($B1180&lt;&gt;"",$B1180,$O1179))</f>
        <v/>
      </c>
    </row>
    <row r="1181">
      <c r="N1181">
        <f>IF($A1181="","",IF(COUNTIFS($A$2:$A1181,$A1181,$C$2:$C1181,$C1181)=1,1,0))</f>
        <v/>
      </c>
      <c r="O1181">
        <f>IF($A1181="","",IF($B1181&lt;&gt;"",$B1181,$O1180))</f>
        <v/>
      </c>
    </row>
    <row r="1182">
      <c r="N1182">
        <f>IF($A1182="","",IF(COUNTIFS($A$2:$A1182,$A1182,$C$2:$C1182,$C1182)=1,1,0))</f>
        <v/>
      </c>
      <c r="O1182">
        <f>IF($A1182="","",IF($B1182&lt;&gt;"",$B1182,$O1181))</f>
        <v/>
      </c>
    </row>
    <row r="1183">
      <c r="N1183">
        <f>IF($A1183="","",IF(COUNTIFS($A$2:$A1183,$A1183,$C$2:$C1183,$C1183)=1,1,0))</f>
        <v/>
      </c>
      <c r="O1183">
        <f>IF($A1183="","",IF($B1183&lt;&gt;"",$B1183,$O1182))</f>
        <v/>
      </c>
    </row>
    <row r="1184">
      <c r="N1184">
        <f>IF($A1184="","",IF(COUNTIFS($A$2:$A1184,$A1184,$C$2:$C1184,$C1184)=1,1,0))</f>
        <v/>
      </c>
      <c r="O1184">
        <f>IF($A1184="","",IF($B1184&lt;&gt;"",$B1184,$O1183))</f>
        <v/>
      </c>
    </row>
    <row r="1185">
      <c r="N1185">
        <f>IF($A1185="","",IF(COUNTIFS($A$2:$A1185,$A1185,$C$2:$C1185,$C1185)=1,1,0))</f>
        <v/>
      </c>
      <c r="O1185">
        <f>IF($A1185="","",IF($B1185&lt;&gt;"",$B1185,$O1184))</f>
        <v/>
      </c>
    </row>
    <row r="1186">
      <c r="N1186">
        <f>IF($A1186="","",IF(COUNTIFS($A$2:$A1186,$A1186,$C$2:$C1186,$C1186)=1,1,0))</f>
        <v/>
      </c>
      <c r="O1186">
        <f>IF($A1186="","",IF($B1186&lt;&gt;"",$B1186,$O1185))</f>
        <v/>
      </c>
    </row>
    <row r="1187">
      <c r="N1187">
        <f>IF($A1187="","",IF(COUNTIFS($A$2:$A1187,$A1187,$C$2:$C1187,$C1187)=1,1,0))</f>
        <v/>
      </c>
      <c r="O1187">
        <f>IF($A1187="","",IF($B1187&lt;&gt;"",$B1187,$O1186))</f>
        <v/>
      </c>
    </row>
    <row r="1188">
      <c r="N1188">
        <f>IF($A1188="","",IF(COUNTIFS($A$2:$A1188,$A1188,$C$2:$C1188,$C1188)=1,1,0))</f>
        <v/>
      </c>
      <c r="O1188">
        <f>IF($A1188="","",IF($B1188&lt;&gt;"",$B1188,$O1187))</f>
        <v/>
      </c>
    </row>
    <row r="1189">
      <c r="N1189">
        <f>IF($A1189="","",IF(COUNTIFS($A$2:$A1189,$A1189,$C$2:$C1189,$C1189)=1,1,0))</f>
        <v/>
      </c>
      <c r="O1189">
        <f>IF($A1189="","",IF($B1189&lt;&gt;"",$B1189,$O1188))</f>
        <v/>
      </c>
    </row>
    <row r="1190">
      <c r="N1190">
        <f>IF($A1190="","",IF(COUNTIFS($A$2:$A1190,$A1190,$C$2:$C1190,$C1190)=1,1,0))</f>
        <v/>
      </c>
      <c r="O1190">
        <f>IF($A1190="","",IF($B1190&lt;&gt;"",$B1190,$O1189))</f>
        <v/>
      </c>
    </row>
    <row r="1191">
      <c r="N1191">
        <f>IF($A1191="","",IF(COUNTIFS($A$2:$A1191,$A1191,$C$2:$C1191,$C1191)=1,1,0))</f>
        <v/>
      </c>
      <c r="O1191">
        <f>IF($A1191="","",IF($B1191&lt;&gt;"",$B1191,$O1190))</f>
        <v/>
      </c>
    </row>
    <row r="1192">
      <c r="N1192">
        <f>IF($A1192="","",IF(COUNTIFS($A$2:$A1192,$A1192,$C$2:$C1192,$C1192)=1,1,0))</f>
        <v/>
      </c>
      <c r="O1192">
        <f>IF($A1192="","",IF($B1192&lt;&gt;"",$B1192,$O1191))</f>
        <v/>
      </c>
    </row>
    <row r="1193">
      <c r="N1193">
        <f>IF($A1193="","",IF(COUNTIFS($A$2:$A1193,$A1193,$C$2:$C1193,$C1193)=1,1,0))</f>
        <v/>
      </c>
      <c r="O1193">
        <f>IF($A1193="","",IF($B1193&lt;&gt;"",$B1193,$O1192))</f>
        <v/>
      </c>
    </row>
    <row r="1194">
      <c r="N1194">
        <f>IF($A1194="","",IF(COUNTIFS($A$2:$A1194,$A1194,$C$2:$C1194,$C1194)=1,1,0))</f>
        <v/>
      </c>
      <c r="O1194">
        <f>IF($A1194="","",IF($B1194&lt;&gt;"",$B1194,$O1193))</f>
        <v/>
      </c>
    </row>
    <row r="1195">
      <c r="N1195">
        <f>IF($A1195="","",IF(COUNTIFS($A$2:$A1195,$A1195,$C$2:$C1195,$C1195)=1,1,0))</f>
        <v/>
      </c>
      <c r="O1195">
        <f>IF($A1195="","",IF($B1195&lt;&gt;"",$B1195,$O1194))</f>
        <v/>
      </c>
    </row>
    <row r="1196">
      <c r="N1196">
        <f>IF($A1196="","",IF(COUNTIFS($A$2:$A1196,$A1196,$C$2:$C1196,$C1196)=1,1,0))</f>
        <v/>
      </c>
      <c r="O1196">
        <f>IF($A1196="","",IF($B1196&lt;&gt;"",$B1196,$O1195))</f>
        <v/>
      </c>
    </row>
    <row r="1197">
      <c r="N1197">
        <f>IF($A1197="","",IF(COUNTIFS($A$2:$A1197,$A1197,$C$2:$C1197,$C1197)=1,1,0))</f>
        <v/>
      </c>
      <c r="O1197">
        <f>IF($A1197="","",IF($B1197&lt;&gt;"",$B1197,$O1196))</f>
        <v/>
      </c>
    </row>
    <row r="1198">
      <c r="N1198">
        <f>IF($A1198="","",IF(COUNTIFS($A$2:$A1198,$A1198,$C$2:$C1198,$C1198)=1,1,0))</f>
        <v/>
      </c>
      <c r="O1198">
        <f>IF($A1198="","",IF($B1198&lt;&gt;"",$B1198,$O1197))</f>
        <v/>
      </c>
    </row>
    <row r="1199">
      <c r="N1199">
        <f>IF($A1199="","",IF(COUNTIFS($A$2:$A1199,$A1199,$C$2:$C1199,$C1199)=1,1,0))</f>
        <v/>
      </c>
      <c r="O1199">
        <f>IF($A1199="","",IF($B1199&lt;&gt;"",$B1199,$O1198))</f>
        <v/>
      </c>
    </row>
    <row r="1200">
      <c r="N1200">
        <f>IF($A1200="","",IF(COUNTIFS($A$2:$A1200,$A1200,$C$2:$C1200,$C1200)=1,1,0))</f>
        <v/>
      </c>
      <c r="O1200">
        <f>IF($A1200="","",IF($B1200&lt;&gt;"",$B1200,$O1199))</f>
        <v/>
      </c>
    </row>
    <row r="1201">
      <c r="N1201">
        <f>IF($A1201="","",IF(COUNTIFS($A$2:$A1201,$A1201,$C$2:$C1201,$C1201)=1,1,0))</f>
        <v/>
      </c>
      <c r="O1201">
        <f>IF($A1201="","",IF($B1201&lt;&gt;"",$B1201,$O1200))</f>
        <v/>
      </c>
    </row>
    <row r="1202">
      <c r="N1202">
        <f>IF($A1202="","",IF(COUNTIFS($A$2:$A1202,$A1202,$C$2:$C1202,$C1202)=1,1,0))</f>
        <v/>
      </c>
      <c r="O1202">
        <f>IF($A1202="","",IF($B1202&lt;&gt;"",$B1202,$O1201))</f>
        <v/>
      </c>
    </row>
    <row r="1203">
      <c r="N1203">
        <f>IF($A1203="","",IF(COUNTIFS($A$2:$A1203,$A1203,$C$2:$C1203,$C1203)=1,1,0))</f>
        <v/>
      </c>
      <c r="O1203">
        <f>IF($A1203="","",IF($B1203&lt;&gt;"",$B1203,$O1202))</f>
        <v/>
      </c>
    </row>
    <row r="1204">
      <c r="N1204">
        <f>IF($A1204="","",IF(COUNTIFS($A$2:$A1204,$A1204,$C$2:$C1204,$C1204)=1,1,0))</f>
        <v/>
      </c>
      <c r="O1204">
        <f>IF($A1204="","",IF($B1204&lt;&gt;"",$B1204,$O1203))</f>
        <v/>
      </c>
    </row>
    <row r="1205">
      <c r="N1205">
        <f>IF($A1205="","",IF(COUNTIFS($A$2:$A1205,$A1205,$C$2:$C1205,$C1205)=1,1,0))</f>
        <v/>
      </c>
      <c r="O1205">
        <f>IF($A1205="","",IF($B1205&lt;&gt;"",$B1205,$O1204))</f>
        <v/>
      </c>
    </row>
    <row r="1206">
      <c r="N1206">
        <f>IF($A1206="","",IF(COUNTIFS($A$2:$A1206,$A1206,$C$2:$C1206,$C1206)=1,1,0))</f>
        <v/>
      </c>
      <c r="O1206">
        <f>IF($A1206="","",IF($B1206&lt;&gt;"",$B1206,$O1205))</f>
        <v/>
      </c>
    </row>
    <row r="1207">
      <c r="N1207">
        <f>IF($A1207="","",IF(COUNTIFS($A$2:$A1207,$A1207,$C$2:$C1207,$C1207)=1,1,0))</f>
        <v/>
      </c>
      <c r="O1207">
        <f>IF($A1207="","",IF($B1207&lt;&gt;"",$B1207,$O1206))</f>
        <v/>
      </c>
    </row>
    <row r="1208">
      <c r="N1208">
        <f>IF($A1208="","",IF(COUNTIFS($A$2:$A1208,$A1208,$C$2:$C1208,$C1208)=1,1,0))</f>
        <v/>
      </c>
      <c r="O1208">
        <f>IF($A1208="","",IF($B1208&lt;&gt;"",$B1208,$O1207))</f>
        <v/>
      </c>
    </row>
    <row r="1209">
      <c r="N1209">
        <f>IF($A1209="","",IF(COUNTIFS($A$2:$A1209,$A1209,$C$2:$C1209,$C1209)=1,1,0))</f>
        <v/>
      </c>
      <c r="O1209">
        <f>IF($A1209="","",IF($B1209&lt;&gt;"",$B1209,$O1208))</f>
        <v/>
      </c>
    </row>
    <row r="1210">
      <c r="N1210">
        <f>IF($A1210="","",IF(COUNTIFS($A$2:$A1210,$A1210,$C$2:$C1210,$C1210)=1,1,0))</f>
        <v/>
      </c>
      <c r="O1210">
        <f>IF($A1210="","",IF($B1210&lt;&gt;"",$B1210,$O1209))</f>
        <v/>
      </c>
    </row>
    <row r="1211">
      <c r="N1211">
        <f>IF($A1211="","",IF(COUNTIFS($A$2:$A1211,$A1211,$C$2:$C1211,$C1211)=1,1,0))</f>
        <v/>
      </c>
      <c r="O1211">
        <f>IF($A1211="","",IF($B1211&lt;&gt;"",$B1211,$O1210))</f>
        <v/>
      </c>
    </row>
    <row r="1212">
      <c r="N1212">
        <f>IF($A1212="","",IF(COUNTIFS($A$2:$A1212,$A1212,$C$2:$C1212,$C1212)=1,1,0))</f>
        <v/>
      </c>
      <c r="O1212">
        <f>IF($A1212="","",IF($B1212&lt;&gt;"",$B1212,$O1211))</f>
        <v/>
      </c>
    </row>
    <row r="1213">
      <c r="N1213">
        <f>IF($A1213="","",IF(COUNTIFS($A$2:$A1213,$A1213,$C$2:$C1213,$C1213)=1,1,0))</f>
        <v/>
      </c>
      <c r="O1213">
        <f>IF($A1213="","",IF($B1213&lt;&gt;"",$B1213,$O1212))</f>
        <v/>
      </c>
    </row>
    <row r="1214">
      <c r="N1214">
        <f>IF($A1214="","",IF(COUNTIFS($A$2:$A1214,$A1214,$C$2:$C1214,$C1214)=1,1,0))</f>
        <v/>
      </c>
      <c r="O1214">
        <f>IF($A1214="","",IF($B1214&lt;&gt;"",$B1214,$O1213))</f>
        <v/>
      </c>
    </row>
    <row r="1215">
      <c r="N1215">
        <f>IF($A1215="","",IF(COUNTIFS($A$2:$A1215,$A1215,$C$2:$C1215,$C1215)=1,1,0))</f>
        <v/>
      </c>
      <c r="O1215">
        <f>IF($A1215="","",IF($B1215&lt;&gt;"",$B1215,$O1214))</f>
        <v/>
      </c>
    </row>
    <row r="1216">
      <c r="N1216">
        <f>IF($A1216="","",IF(COUNTIFS($A$2:$A1216,$A1216,$C$2:$C1216,$C1216)=1,1,0))</f>
        <v/>
      </c>
      <c r="O1216">
        <f>IF($A1216="","",IF($B1216&lt;&gt;"",$B1216,$O1215))</f>
        <v/>
      </c>
    </row>
    <row r="1217">
      <c r="N1217">
        <f>IF($A1217="","",IF(COUNTIFS($A$2:$A1217,$A1217,$C$2:$C1217,$C1217)=1,1,0))</f>
        <v/>
      </c>
      <c r="O1217">
        <f>IF($A1217="","",IF($B1217&lt;&gt;"",$B1217,$O1216))</f>
        <v/>
      </c>
    </row>
    <row r="1218">
      <c r="N1218">
        <f>IF($A1218="","",IF(COUNTIFS($A$2:$A1218,$A1218,$C$2:$C1218,$C1218)=1,1,0))</f>
        <v/>
      </c>
      <c r="O1218">
        <f>IF($A1218="","",IF($B1218&lt;&gt;"",$B1218,$O1217))</f>
        <v/>
      </c>
    </row>
    <row r="1219">
      <c r="N1219">
        <f>IF($A1219="","",IF(COUNTIFS($A$2:$A1219,$A1219,$C$2:$C1219,$C1219)=1,1,0))</f>
        <v/>
      </c>
      <c r="O1219">
        <f>IF($A1219="","",IF($B1219&lt;&gt;"",$B1219,$O1218))</f>
        <v/>
      </c>
    </row>
    <row r="1220">
      <c r="N1220">
        <f>IF($A1220="","",IF(COUNTIFS($A$2:$A1220,$A1220,$C$2:$C1220,$C1220)=1,1,0))</f>
        <v/>
      </c>
      <c r="O1220">
        <f>IF($A1220="","",IF($B1220&lt;&gt;"",$B1220,$O1219))</f>
        <v/>
      </c>
    </row>
    <row r="1221">
      <c r="N1221">
        <f>IF($A1221="","",IF(COUNTIFS($A$2:$A1221,$A1221,$C$2:$C1221,$C1221)=1,1,0))</f>
        <v/>
      </c>
      <c r="O1221">
        <f>IF($A1221="","",IF($B1221&lt;&gt;"",$B1221,$O1220))</f>
        <v/>
      </c>
    </row>
    <row r="1222">
      <c r="N1222">
        <f>IF($A1222="","",IF(COUNTIFS($A$2:$A1222,$A1222,$C$2:$C1222,$C1222)=1,1,0))</f>
        <v/>
      </c>
      <c r="O1222">
        <f>IF($A1222="","",IF($B1222&lt;&gt;"",$B1222,$O1221))</f>
        <v/>
      </c>
    </row>
    <row r="1223">
      <c r="N1223">
        <f>IF($A1223="","",IF(COUNTIFS($A$2:$A1223,$A1223,$C$2:$C1223,$C1223)=1,1,0))</f>
        <v/>
      </c>
      <c r="O1223">
        <f>IF($A1223="","",IF($B1223&lt;&gt;"",$B1223,$O1222))</f>
        <v/>
      </c>
    </row>
    <row r="1224">
      <c r="N1224">
        <f>IF($A1224="","",IF(COUNTIFS($A$2:$A1224,$A1224,$C$2:$C1224,$C1224)=1,1,0))</f>
        <v/>
      </c>
      <c r="O1224">
        <f>IF($A1224="","",IF($B1224&lt;&gt;"",$B1224,$O1223))</f>
        <v/>
      </c>
    </row>
    <row r="1225">
      <c r="N1225">
        <f>IF($A1225="","",IF(COUNTIFS($A$2:$A1225,$A1225,$C$2:$C1225,$C1225)=1,1,0))</f>
        <v/>
      </c>
      <c r="O1225">
        <f>IF($A1225="","",IF($B1225&lt;&gt;"",$B1225,$O1224))</f>
        <v/>
      </c>
    </row>
    <row r="1226">
      <c r="N1226">
        <f>IF($A1226="","",IF(COUNTIFS($A$2:$A1226,$A1226,$C$2:$C1226,$C1226)=1,1,0))</f>
        <v/>
      </c>
      <c r="O1226">
        <f>IF($A1226="","",IF($B1226&lt;&gt;"",$B1226,$O1225))</f>
        <v/>
      </c>
    </row>
    <row r="1227">
      <c r="N1227">
        <f>IF($A1227="","",IF(COUNTIFS($A$2:$A1227,$A1227,$C$2:$C1227,$C1227)=1,1,0))</f>
        <v/>
      </c>
      <c r="O1227">
        <f>IF($A1227="","",IF($B1227&lt;&gt;"",$B1227,$O1226))</f>
        <v/>
      </c>
    </row>
    <row r="1228">
      <c r="N1228">
        <f>IF($A1228="","",IF(COUNTIFS($A$2:$A1228,$A1228,$C$2:$C1228,$C1228)=1,1,0))</f>
        <v/>
      </c>
      <c r="O1228">
        <f>IF($A1228="","",IF($B1228&lt;&gt;"",$B1228,$O1227))</f>
        <v/>
      </c>
    </row>
    <row r="1229">
      <c r="N1229">
        <f>IF($A1229="","",IF(COUNTIFS($A$2:$A1229,$A1229,$C$2:$C1229,$C1229)=1,1,0))</f>
        <v/>
      </c>
      <c r="O1229">
        <f>IF($A1229="","",IF($B1229&lt;&gt;"",$B1229,$O1228))</f>
        <v/>
      </c>
    </row>
    <row r="1230">
      <c r="N1230">
        <f>IF($A1230="","",IF(COUNTIFS($A$2:$A1230,$A1230,$C$2:$C1230,$C1230)=1,1,0))</f>
        <v/>
      </c>
      <c r="O1230">
        <f>IF($A1230="","",IF($B1230&lt;&gt;"",$B1230,$O1229))</f>
        <v/>
      </c>
    </row>
    <row r="1231">
      <c r="N1231">
        <f>IF($A1231="","",IF(COUNTIFS($A$2:$A1231,$A1231,$C$2:$C1231,$C1231)=1,1,0))</f>
        <v/>
      </c>
      <c r="O1231">
        <f>IF($A1231="","",IF($B1231&lt;&gt;"",$B1231,$O1230))</f>
        <v/>
      </c>
    </row>
    <row r="1232">
      <c r="N1232">
        <f>IF($A1232="","",IF(COUNTIFS($A$2:$A1232,$A1232,$C$2:$C1232,$C1232)=1,1,0))</f>
        <v/>
      </c>
      <c r="O1232">
        <f>IF($A1232="","",IF($B1232&lt;&gt;"",$B1232,$O1231))</f>
        <v/>
      </c>
    </row>
    <row r="1233">
      <c r="N1233">
        <f>IF($A1233="","",IF(COUNTIFS($A$2:$A1233,$A1233,$C$2:$C1233,$C1233)=1,1,0))</f>
        <v/>
      </c>
      <c r="O1233">
        <f>IF($A1233="","",IF($B1233&lt;&gt;"",$B1233,$O1232))</f>
        <v/>
      </c>
    </row>
    <row r="1234">
      <c r="N1234">
        <f>IF($A1234="","",IF(COUNTIFS($A$2:$A1234,$A1234,$C$2:$C1234,$C1234)=1,1,0))</f>
        <v/>
      </c>
      <c r="O1234">
        <f>IF($A1234="","",IF($B1234&lt;&gt;"",$B1234,$O1233))</f>
        <v/>
      </c>
    </row>
    <row r="1235">
      <c r="N1235">
        <f>IF($A1235="","",IF(COUNTIFS($A$2:$A1235,$A1235,$C$2:$C1235,$C1235)=1,1,0))</f>
        <v/>
      </c>
      <c r="O1235">
        <f>IF($A1235="","",IF($B1235&lt;&gt;"",$B1235,$O1234))</f>
        <v/>
      </c>
    </row>
    <row r="1236">
      <c r="N1236">
        <f>IF($A1236="","",IF(COUNTIFS($A$2:$A1236,$A1236,$C$2:$C1236,$C1236)=1,1,0))</f>
        <v/>
      </c>
      <c r="O1236">
        <f>IF($A1236="","",IF($B1236&lt;&gt;"",$B1236,$O1235))</f>
        <v/>
      </c>
    </row>
    <row r="1237">
      <c r="N1237">
        <f>IF($A1237="","",IF(COUNTIFS($A$2:$A1237,$A1237,$C$2:$C1237,$C1237)=1,1,0))</f>
        <v/>
      </c>
      <c r="O1237">
        <f>IF($A1237="","",IF($B1237&lt;&gt;"",$B1237,$O1236))</f>
        <v/>
      </c>
    </row>
    <row r="1238">
      <c r="N1238">
        <f>IF($A1238="","",IF(COUNTIFS($A$2:$A1238,$A1238,$C$2:$C1238,$C1238)=1,1,0))</f>
        <v/>
      </c>
      <c r="O1238">
        <f>IF($A1238="","",IF($B1238&lt;&gt;"",$B1238,$O1237))</f>
        <v/>
      </c>
    </row>
    <row r="1239">
      <c r="N1239">
        <f>IF($A1239="","",IF(COUNTIFS($A$2:$A1239,$A1239,$C$2:$C1239,$C1239)=1,1,0))</f>
        <v/>
      </c>
      <c r="O1239">
        <f>IF($A1239="","",IF($B1239&lt;&gt;"",$B1239,$O1238))</f>
        <v/>
      </c>
    </row>
    <row r="1240">
      <c r="N1240">
        <f>IF($A1240="","",IF(COUNTIFS($A$2:$A1240,$A1240,$C$2:$C1240,$C1240)=1,1,0))</f>
        <v/>
      </c>
      <c r="O1240">
        <f>IF($A1240="","",IF($B1240&lt;&gt;"",$B1240,$O1239))</f>
        <v/>
      </c>
    </row>
    <row r="1241">
      <c r="N1241">
        <f>IF($A1241="","",IF(COUNTIFS($A$2:$A1241,$A1241,$C$2:$C1241,$C1241)=1,1,0))</f>
        <v/>
      </c>
      <c r="O1241">
        <f>IF($A1241="","",IF($B1241&lt;&gt;"",$B1241,$O1240))</f>
        <v/>
      </c>
    </row>
    <row r="1242">
      <c r="N1242">
        <f>IF($A1242="","",IF(COUNTIFS($A$2:$A1242,$A1242,$C$2:$C1242,$C1242)=1,1,0))</f>
        <v/>
      </c>
      <c r="O1242">
        <f>IF($A1242="","",IF($B1242&lt;&gt;"",$B1242,$O1241))</f>
        <v/>
      </c>
    </row>
    <row r="1243">
      <c r="N1243">
        <f>IF($A1243="","",IF(COUNTIFS($A$2:$A1243,$A1243,$C$2:$C1243,$C1243)=1,1,0))</f>
        <v/>
      </c>
      <c r="O1243">
        <f>IF($A1243="","",IF($B1243&lt;&gt;"",$B1243,$O1242))</f>
        <v/>
      </c>
    </row>
    <row r="1244">
      <c r="N1244">
        <f>IF($A1244="","",IF(COUNTIFS($A$2:$A1244,$A1244,$C$2:$C1244,$C1244)=1,1,0))</f>
        <v/>
      </c>
      <c r="O1244">
        <f>IF($A1244="","",IF($B1244&lt;&gt;"",$B1244,$O1243))</f>
        <v/>
      </c>
    </row>
    <row r="1245">
      <c r="N1245">
        <f>IF($A1245="","",IF(COUNTIFS($A$2:$A1245,$A1245,$C$2:$C1245,$C1245)=1,1,0))</f>
        <v/>
      </c>
      <c r="O1245">
        <f>IF($A1245="","",IF($B1245&lt;&gt;"",$B1245,$O1244))</f>
        <v/>
      </c>
    </row>
    <row r="1246">
      <c r="N1246">
        <f>IF($A1246="","",IF(COUNTIFS($A$2:$A1246,$A1246,$C$2:$C1246,$C1246)=1,1,0))</f>
        <v/>
      </c>
      <c r="O1246">
        <f>IF($A1246="","",IF($B1246&lt;&gt;"",$B1246,$O1245))</f>
        <v/>
      </c>
    </row>
    <row r="1247">
      <c r="N1247">
        <f>IF($A1247="","",IF(COUNTIFS($A$2:$A1247,$A1247,$C$2:$C1247,$C1247)=1,1,0))</f>
        <v/>
      </c>
      <c r="O1247">
        <f>IF($A1247="","",IF($B1247&lt;&gt;"",$B1247,$O1246))</f>
        <v/>
      </c>
    </row>
    <row r="1248">
      <c r="N1248">
        <f>IF($A1248="","",IF(COUNTIFS($A$2:$A1248,$A1248,$C$2:$C1248,$C1248)=1,1,0))</f>
        <v/>
      </c>
      <c r="O1248">
        <f>IF($A1248="","",IF($B1248&lt;&gt;"",$B1248,$O1247))</f>
        <v/>
      </c>
    </row>
    <row r="1249">
      <c r="N1249">
        <f>IF($A1249="","",IF(COUNTIFS($A$2:$A1249,$A1249,$C$2:$C1249,$C1249)=1,1,0))</f>
        <v/>
      </c>
      <c r="O1249">
        <f>IF($A1249="","",IF($B1249&lt;&gt;"",$B1249,$O1248))</f>
        <v/>
      </c>
    </row>
    <row r="1250">
      <c r="N1250">
        <f>IF($A1250="","",IF(COUNTIFS($A$2:$A1250,$A1250,$C$2:$C1250,$C1250)=1,1,0))</f>
        <v/>
      </c>
      <c r="O1250">
        <f>IF($A1250="","",IF($B1250&lt;&gt;"",$B1250,$O1249))</f>
        <v/>
      </c>
    </row>
    <row r="1251">
      <c r="N1251">
        <f>IF($A1251="","",IF(COUNTIFS($A$2:$A1251,$A1251,$C$2:$C1251,$C1251)=1,1,0))</f>
        <v/>
      </c>
      <c r="O1251">
        <f>IF($A1251="","",IF($B1251&lt;&gt;"",$B1251,$O1250))</f>
        <v/>
      </c>
    </row>
    <row r="1252">
      <c r="N1252">
        <f>IF($A1252="","",IF(COUNTIFS($A$2:$A1252,$A1252,$C$2:$C1252,$C1252)=1,1,0))</f>
        <v/>
      </c>
      <c r="O1252">
        <f>IF($A1252="","",IF($B1252&lt;&gt;"",$B1252,$O1251))</f>
        <v/>
      </c>
    </row>
    <row r="1253">
      <c r="N1253">
        <f>IF($A1253="","",IF(COUNTIFS($A$2:$A1253,$A1253,$C$2:$C1253,$C1253)=1,1,0))</f>
        <v/>
      </c>
      <c r="O1253">
        <f>IF($A1253="","",IF($B1253&lt;&gt;"",$B1253,$O1252))</f>
        <v/>
      </c>
    </row>
    <row r="1254">
      <c r="N1254">
        <f>IF($A1254="","",IF(COUNTIFS($A$2:$A1254,$A1254,$C$2:$C1254,$C1254)=1,1,0))</f>
        <v/>
      </c>
      <c r="O1254">
        <f>IF($A1254="","",IF($B1254&lt;&gt;"",$B1254,$O1253))</f>
        <v/>
      </c>
    </row>
    <row r="1255">
      <c r="N1255">
        <f>IF($A1255="","",IF(COUNTIFS($A$2:$A1255,$A1255,$C$2:$C1255,$C1255)=1,1,0))</f>
        <v/>
      </c>
      <c r="O1255">
        <f>IF($A1255="","",IF($B1255&lt;&gt;"",$B1255,$O1254))</f>
        <v/>
      </c>
    </row>
    <row r="1256">
      <c r="N1256">
        <f>IF($A1256="","",IF(COUNTIFS($A$2:$A1256,$A1256,$C$2:$C1256,$C1256)=1,1,0))</f>
        <v/>
      </c>
      <c r="O1256">
        <f>IF($A1256="","",IF($B1256&lt;&gt;"",$B1256,$O1255))</f>
        <v/>
      </c>
    </row>
    <row r="1257">
      <c r="N1257">
        <f>IF($A1257="","",IF(COUNTIFS($A$2:$A1257,$A1257,$C$2:$C1257,$C1257)=1,1,0))</f>
        <v/>
      </c>
      <c r="O1257">
        <f>IF($A1257="","",IF($B1257&lt;&gt;"",$B1257,$O1256))</f>
        <v/>
      </c>
    </row>
    <row r="1258">
      <c r="N1258">
        <f>IF($A1258="","",IF(COUNTIFS($A$2:$A1258,$A1258,$C$2:$C1258,$C1258)=1,1,0))</f>
        <v/>
      </c>
      <c r="O1258">
        <f>IF($A1258="","",IF($B1258&lt;&gt;"",$B1258,$O1257))</f>
        <v/>
      </c>
    </row>
    <row r="1259">
      <c r="N1259">
        <f>IF($A1259="","",IF(COUNTIFS($A$2:$A1259,$A1259,$C$2:$C1259,$C1259)=1,1,0))</f>
        <v/>
      </c>
      <c r="O1259">
        <f>IF($A1259="","",IF($B1259&lt;&gt;"",$B1259,$O1258))</f>
        <v/>
      </c>
    </row>
    <row r="1260">
      <c r="N1260">
        <f>IF($A1260="","",IF(COUNTIFS($A$2:$A1260,$A1260,$C$2:$C1260,$C1260)=1,1,0))</f>
        <v/>
      </c>
      <c r="O1260">
        <f>IF($A1260="","",IF($B1260&lt;&gt;"",$B1260,$O1259))</f>
        <v/>
      </c>
    </row>
    <row r="1261">
      <c r="N1261">
        <f>IF($A1261="","",IF(COUNTIFS($A$2:$A1261,$A1261,$C$2:$C1261,$C1261)=1,1,0))</f>
        <v/>
      </c>
      <c r="O1261">
        <f>IF($A1261="","",IF($B1261&lt;&gt;"",$B1261,$O1260))</f>
        <v/>
      </c>
    </row>
    <row r="1262">
      <c r="N1262">
        <f>IF($A1262="","",IF(COUNTIFS($A$2:$A1262,$A1262,$C$2:$C1262,$C1262)=1,1,0))</f>
        <v/>
      </c>
      <c r="O1262">
        <f>IF($A1262="","",IF($B1262&lt;&gt;"",$B1262,$O1261))</f>
        <v/>
      </c>
    </row>
    <row r="1263">
      <c r="N1263">
        <f>IF($A1263="","",IF(COUNTIFS($A$2:$A1263,$A1263,$C$2:$C1263,$C1263)=1,1,0))</f>
        <v/>
      </c>
      <c r="O1263">
        <f>IF($A1263="","",IF($B1263&lt;&gt;"",$B1263,$O1262))</f>
        <v/>
      </c>
    </row>
    <row r="1264">
      <c r="N1264">
        <f>IF($A1264="","",IF(COUNTIFS($A$2:$A1264,$A1264,$C$2:$C1264,$C1264)=1,1,0))</f>
        <v/>
      </c>
      <c r="O1264">
        <f>IF($A1264="","",IF($B1264&lt;&gt;"",$B1264,$O1263))</f>
        <v/>
      </c>
    </row>
    <row r="1265">
      <c r="N1265">
        <f>IF($A1265="","",IF(COUNTIFS($A$2:$A1265,$A1265,$C$2:$C1265,$C1265)=1,1,0))</f>
        <v/>
      </c>
      <c r="O1265">
        <f>IF($A1265="","",IF($B1265&lt;&gt;"",$B1265,$O1264))</f>
        <v/>
      </c>
    </row>
    <row r="1266">
      <c r="N1266">
        <f>IF($A1266="","",IF(COUNTIFS($A$2:$A1266,$A1266,$C$2:$C1266,$C1266)=1,1,0))</f>
        <v/>
      </c>
      <c r="O1266">
        <f>IF($A1266="","",IF($B1266&lt;&gt;"",$B1266,$O1265))</f>
        <v/>
      </c>
    </row>
    <row r="1267">
      <c r="N1267">
        <f>IF($A1267="","",IF(COUNTIFS($A$2:$A1267,$A1267,$C$2:$C1267,$C1267)=1,1,0))</f>
        <v/>
      </c>
      <c r="O1267">
        <f>IF($A1267="","",IF($B1267&lt;&gt;"",$B1267,$O1266))</f>
        <v/>
      </c>
    </row>
    <row r="1268">
      <c r="N1268">
        <f>IF($A1268="","",IF(COUNTIFS($A$2:$A1268,$A1268,$C$2:$C1268,$C1268)=1,1,0))</f>
        <v/>
      </c>
      <c r="O1268">
        <f>IF($A1268="","",IF($B1268&lt;&gt;"",$B1268,$O1267))</f>
        <v/>
      </c>
    </row>
    <row r="1269">
      <c r="N1269">
        <f>IF($A1269="","",IF(COUNTIFS($A$2:$A1269,$A1269,$C$2:$C1269,$C1269)=1,1,0))</f>
        <v/>
      </c>
      <c r="O1269">
        <f>IF($A1269="","",IF($B1269&lt;&gt;"",$B1269,$O1268))</f>
        <v/>
      </c>
    </row>
    <row r="1270">
      <c r="N1270">
        <f>IF($A1270="","",IF(COUNTIFS($A$2:$A1270,$A1270,$C$2:$C1270,$C1270)=1,1,0))</f>
        <v/>
      </c>
      <c r="O1270">
        <f>IF($A1270="","",IF($B1270&lt;&gt;"",$B1270,$O1269))</f>
        <v/>
      </c>
    </row>
    <row r="1271">
      <c r="N1271">
        <f>IF($A1271="","",IF(COUNTIFS($A$2:$A1271,$A1271,$C$2:$C1271,$C1271)=1,1,0))</f>
        <v/>
      </c>
      <c r="O1271">
        <f>IF($A1271="","",IF($B1271&lt;&gt;"",$B1271,$O1270))</f>
        <v/>
      </c>
    </row>
    <row r="1272">
      <c r="N1272">
        <f>IF($A1272="","",IF(COUNTIFS($A$2:$A1272,$A1272,$C$2:$C1272,$C1272)=1,1,0))</f>
        <v/>
      </c>
      <c r="O1272">
        <f>IF($A1272="","",IF($B1272&lt;&gt;"",$B1272,$O1271))</f>
        <v/>
      </c>
    </row>
    <row r="1273">
      <c r="N1273">
        <f>IF($A1273="","",IF(COUNTIFS($A$2:$A1273,$A1273,$C$2:$C1273,$C1273)=1,1,0))</f>
        <v/>
      </c>
      <c r="O1273">
        <f>IF($A1273="","",IF($B1273&lt;&gt;"",$B1273,$O1272))</f>
        <v/>
      </c>
    </row>
    <row r="1274">
      <c r="N1274">
        <f>IF($A1274="","",IF(COUNTIFS($A$2:$A1274,$A1274,$C$2:$C1274,$C1274)=1,1,0))</f>
        <v/>
      </c>
      <c r="O1274">
        <f>IF($A1274="","",IF($B1274&lt;&gt;"",$B1274,$O1273))</f>
        <v/>
      </c>
    </row>
    <row r="1275">
      <c r="N1275">
        <f>IF($A1275="","",IF(COUNTIFS($A$2:$A1275,$A1275,$C$2:$C1275,$C1275)=1,1,0))</f>
        <v/>
      </c>
      <c r="O1275">
        <f>IF($A1275="","",IF($B1275&lt;&gt;"",$B1275,$O1274))</f>
        <v/>
      </c>
    </row>
    <row r="1276">
      <c r="N1276">
        <f>IF($A1276="","",IF(COUNTIFS($A$2:$A1276,$A1276,$C$2:$C1276,$C1276)=1,1,0))</f>
        <v/>
      </c>
      <c r="O1276">
        <f>IF($A1276="","",IF($B1276&lt;&gt;"",$B1276,$O1275))</f>
        <v/>
      </c>
    </row>
    <row r="1277">
      <c r="N1277">
        <f>IF($A1277="","",IF(COUNTIFS($A$2:$A1277,$A1277,$C$2:$C1277,$C1277)=1,1,0))</f>
        <v/>
      </c>
      <c r="O1277">
        <f>IF($A1277="","",IF($B1277&lt;&gt;"",$B1277,$O1276))</f>
        <v/>
      </c>
    </row>
    <row r="1278">
      <c r="N1278">
        <f>IF($A1278="","",IF(COUNTIFS($A$2:$A1278,$A1278,$C$2:$C1278,$C1278)=1,1,0))</f>
        <v/>
      </c>
      <c r="O1278">
        <f>IF($A1278="","",IF($B1278&lt;&gt;"",$B1278,$O1277))</f>
        <v/>
      </c>
    </row>
    <row r="1279">
      <c r="N1279">
        <f>IF($A1279="","",IF(COUNTIFS($A$2:$A1279,$A1279,$C$2:$C1279,$C1279)=1,1,0))</f>
        <v/>
      </c>
      <c r="O1279">
        <f>IF($A1279="","",IF($B1279&lt;&gt;"",$B1279,$O1278))</f>
        <v/>
      </c>
    </row>
    <row r="1280">
      <c r="N1280">
        <f>IF($A1280="","",IF(COUNTIFS($A$2:$A1280,$A1280,$C$2:$C1280,$C1280)=1,1,0))</f>
        <v/>
      </c>
      <c r="O1280">
        <f>IF($A1280="","",IF($B1280&lt;&gt;"",$B1280,$O1279))</f>
        <v/>
      </c>
    </row>
    <row r="1281">
      <c r="N1281">
        <f>IF($A1281="","",IF(COUNTIFS($A$2:$A1281,$A1281,$C$2:$C1281,$C1281)=1,1,0))</f>
        <v/>
      </c>
      <c r="O1281">
        <f>IF($A1281="","",IF($B1281&lt;&gt;"",$B1281,$O1280))</f>
        <v/>
      </c>
    </row>
    <row r="1282">
      <c r="N1282">
        <f>IF($A1282="","",IF(COUNTIFS($A$2:$A1282,$A1282,$C$2:$C1282,$C1282)=1,1,0))</f>
        <v/>
      </c>
      <c r="O1282">
        <f>IF($A1282="","",IF($B1282&lt;&gt;"",$B1282,$O1281))</f>
        <v/>
      </c>
    </row>
    <row r="1283">
      <c r="N1283">
        <f>IF($A1283="","",IF(COUNTIFS($A$2:$A1283,$A1283,$C$2:$C1283,$C1283)=1,1,0))</f>
        <v/>
      </c>
      <c r="O1283">
        <f>IF($A1283="","",IF($B1283&lt;&gt;"",$B1283,$O1282))</f>
        <v/>
      </c>
    </row>
    <row r="1284">
      <c r="N1284">
        <f>IF($A1284="","",IF(COUNTIFS($A$2:$A1284,$A1284,$C$2:$C1284,$C1284)=1,1,0))</f>
        <v/>
      </c>
      <c r="O1284">
        <f>IF($A1284="","",IF($B1284&lt;&gt;"",$B1284,$O1283))</f>
        <v/>
      </c>
    </row>
    <row r="1285">
      <c r="N1285">
        <f>IF($A1285="","",IF(COUNTIFS($A$2:$A1285,$A1285,$C$2:$C1285,$C1285)=1,1,0))</f>
        <v/>
      </c>
      <c r="O1285">
        <f>IF($A1285="","",IF($B1285&lt;&gt;"",$B1285,$O1284))</f>
        <v/>
      </c>
    </row>
    <row r="1286">
      <c r="N1286">
        <f>IF($A1286="","",IF(COUNTIFS($A$2:$A1286,$A1286,$C$2:$C1286,$C1286)=1,1,0))</f>
        <v/>
      </c>
      <c r="O1286">
        <f>IF($A1286="","",IF($B1286&lt;&gt;"",$B1286,$O1285))</f>
        <v/>
      </c>
    </row>
    <row r="1287">
      <c r="N1287">
        <f>IF($A1287="","",IF(COUNTIFS($A$2:$A1287,$A1287,$C$2:$C1287,$C1287)=1,1,0))</f>
        <v/>
      </c>
      <c r="O1287">
        <f>IF($A1287="","",IF($B1287&lt;&gt;"",$B1287,$O1286))</f>
        <v/>
      </c>
    </row>
    <row r="1288">
      <c r="N1288">
        <f>IF($A1288="","",IF(COUNTIFS($A$2:$A1288,$A1288,$C$2:$C1288,$C1288)=1,1,0))</f>
        <v/>
      </c>
      <c r="O1288">
        <f>IF($A1288="","",IF($B1288&lt;&gt;"",$B1288,$O1287))</f>
        <v/>
      </c>
    </row>
    <row r="1289">
      <c r="N1289">
        <f>IF($A1289="","",IF(COUNTIFS($A$2:$A1289,$A1289,$C$2:$C1289,$C1289)=1,1,0))</f>
        <v/>
      </c>
      <c r="O1289">
        <f>IF($A1289="","",IF($B1289&lt;&gt;"",$B1289,$O1288))</f>
        <v/>
      </c>
    </row>
    <row r="1290">
      <c r="N1290">
        <f>IF($A1290="","",IF(COUNTIFS($A$2:$A1290,$A1290,$C$2:$C1290,$C1290)=1,1,0))</f>
        <v/>
      </c>
      <c r="O1290">
        <f>IF($A1290="","",IF($B1290&lt;&gt;"",$B1290,$O1289))</f>
        <v/>
      </c>
    </row>
    <row r="1291">
      <c r="N1291">
        <f>IF($A1291="","",IF(COUNTIFS($A$2:$A1291,$A1291,$C$2:$C1291,$C1291)=1,1,0))</f>
        <v/>
      </c>
      <c r="O1291">
        <f>IF($A1291="","",IF($B1291&lt;&gt;"",$B1291,$O1290))</f>
        <v/>
      </c>
    </row>
    <row r="1292">
      <c r="N1292">
        <f>IF($A1292="","",IF(COUNTIFS($A$2:$A1292,$A1292,$C$2:$C1292,$C1292)=1,1,0))</f>
        <v/>
      </c>
      <c r="O1292">
        <f>IF($A1292="","",IF($B1292&lt;&gt;"",$B1292,$O1291))</f>
        <v/>
      </c>
    </row>
    <row r="1293">
      <c r="N1293">
        <f>IF($A1293="","",IF(COUNTIFS($A$2:$A1293,$A1293,$C$2:$C1293,$C1293)=1,1,0))</f>
        <v/>
      </c>
      <c r="O1293">
        <f>IF($A1293="","",IF($B1293&lt;&gt;"",$B1293,$O1292))</f>
        <v/>
      </c>
    </row>
    <row r="1294">
      <c r="N1294">
        <f>IF($A1294="","",IF(COUNTIFS($A$2:$A1294,$A1294,$C$2:$C1294,$C1294)=1,1,0))</f>
        <v/>
      </c>
      <c r="O1294">
        <f>IF($A1294="","",IF($B1294&lt;&gt;"",$B1294,$O1293))</f>
        <v/>
      </c>
    </row>
    <row r="1295">
      <c r="N1295">
        <f>IF($A1295="","",IF(COUNTIFS($A$2:$A1295,$A1295,$C$2:$C1295,$C1295)=1,1,0))</f>
        <v/>
      </c>
      <c r="O1295">
        <f>IF($A1295="","",IF($B1295&lt;&gt;"",$B1295,$O1294))</f>
        <v/>
      </c>
    </row>
    <row r="1296">
      <c r="N1296">
        <f>IF($A1296="","",IF(COUNTIFS($A$2:$A1296,$A1296,$C$2:$C1296,$C1296)=1,1,0))</f>
        <v/>
      </c>
      <c r="O1296">
        <f>IF($A1296="","",IF($B1296&lt;&gt;"",$B1296,$O1295))</f>
        <v/>
      </c>
    </row>
    <row r="1297">
      <c r="N1297">
        <f>IF($A1297="","",IF(COUNTIFS($A$2:$A1297,$A1297,$C$2:$C1297,$C1297)=1,1,0))</f>
        <v/>
      </c>
      <c r="O1297">
        <f>IF($A1297="","",IF($B1297&lt;&gt;"",$B1297,$O1296))</f>
        <v/>
      </c>
    </row>
    <row r="1298">
      <c r="N1298">
        <f>IF($A1298="","",IF(COUNTIFS($A$2:$A1298,$A1298,$C$2:$C1298,$C1298)=1,1,0))</f>
        <v/>
      </c>
      <c r="O1298">
        <f>IF($A1298="","",IF($B1298&lt;&gt;"",$B1298,$O1297))</f>
        <v/>
      </c>
    </row>
    <row r="1299">
      <c r="N1299">
        <f>IF($A1299="","",IF(COUNTIFS($A$2:$A1299,$A1299,$C$2:$C1299,$C1299)=1,1,0))</f>
        <v/>
      </c>
      <c r="O1299">
        <f>IF($A1299="","",IF($B1299&lt;&gt;"",$B1299,$O1298))</f>
        <v/>
      </c>
    </row>
    <row r="1300">
      <c r="N1300">
        <f>IF($A1300="","",IF(COUNTIFS($A$2:$A1300,$A1300,$C$2:$C1300,$C1300)=1,1,0))</f>
        <v/>
      </c>
      <c r="O1300">
        <f>IF($A1300="","",IF($B1300&lt;&gt;"",$B1300,$O1299))</f>
        <v/>
      </c>
    </row>
    <row r="1301">
      <c r="N1301">
        <f>IF($A1301="","",IF(COUNTIFS($A$2:$A1301,$A1301,$C$2:$C1301,$C1301)=1,1,0))</f>
        <v/>
      </c>
      <c r="O1301">
        <f>IF($A1301="","",IF($B1301&lt;&gt;"",$B1301,$O1300))</f>
        <v/>
      </c>
    </row>
    <row r="1302">
      <c r="N1302">
        <f>IF($A1302="","",IF(COUNTIFS($A$2:$A1302,$A1302,$C$2:$C1302,$C1302)=1,1,0))</f>
        <v/>
      </c>
      <c r="O1302">
        <f>IF($A1302="","",IF($B1302&lt;&gt;"",$B1302,$O1301))</f>
        <v/>
      </c>
    </row>
    <row r="1303">
      <c r="N1303">
        <f>IF($A1303="","",IF(COUNTIFS($A$2:$A1303,$A1303,$C$2:$C1303,$C1303)=1,1,0))</f>
        <v/>
      </c>
      <c r="O1303">
        <f>IF($A1303="","",IF($B1303&lt;&gt;"",$B1303,$O1302))</f>
        <v/>
      </c>
    </row>
    <row r="1304">
      <c r="N1304">
        <f>IF($A1304="","",IF(COUNTIFS($A$2:$A1304,$A1304,$C$2:$C1304,$C1304)=1,1,0))</f>
        <v/>
      </c>
      <c r="O1304">
        <f>IF($A1304="","",IF($B1304&lt;&gt;"",$B1304,$O1303))</f>
        <v/>
      </c>
    </row>
    <row r="1305">
      <c r="N1305">
        <f>IF($A1305="","",IF(COUNTIFS($A$2:$A1305,$A1305,$C$2:$C1305,$C1305)=1,1,0))</f>
        <v/>
      </c>
      <c r="O1305">
        <f>IF($A1305="","",IF($B1305&lt;&gt;"",$B1305,$O1304))</f>
        <v/>
      </c>
    </row>
    <row r="1306">
      <c r="N1306">
        <f>IF($A1306="","",IF(COUNTIFS($A$2:$A1306,$A1306,$C$2:$C1306,$C1306)=1,1,0))</f>
        <v/>
      </c>
      <c r="O1306">
        <f>IF($A1306="","",IF($B1306&lt;&gt;"",$B1306,$O1305))</f>
        <v/>
      </c>
    </row>
    <row r="1307">
      <c r="N1307">
        <f>IF($A1307="","",IF(COUNTIFS($A$2:$A1307,$A1307,$C$2:$C1307,$C1307)=1,1,0))</f>
        <v/>
      </c>
      <c r="O1307">
        <f>IF($A1307="","",IF($B1307&lt;&gt;"",$B1307,$O1306))</f>
        <v/>
      </c>
    </row>
    <row r="1308">
      <c r="N1308">
        <f>IF($A1308="","",IF(COUNTIFS($A$2:$A1308,$A1308,$C$2:$C1308,$C1308)=1,1,0))</f>
        <v/>
      </c>
      <c r="O1308">
        <f>IF($A1308="","",IF($B1308&lt;&gt;"",$B1308,$O1307))</f>
        <v/>
      </c>
    </row>
    <row r="1309">
      <c r="N1309">
        <f>IF($A1309="","",IF(COUNTIFS($A$2:$A1309,$A1309,$C$2:$C1309,$C1309)=1,1,0))</f>
        <v/>
      </c>
      <c r="O1309">
        <f>IF($A1309="","",IF($B1309&lt;&gt;"",$B1309,$O1308))</f>
        <v/>
      </c>
    </row>
    <row r="1310">
      <c r="N1310">
        <f>IF($A1310="","",IF(COUNTIFS($A$2:$A1310,$A1310,$C$2:$C1310,$C1310)=1,1,0))</f>
        <v/>
      </c>
      <c r="O1310">
        <f>IF($A1310="","",IF($B1310&lt;&gt;"",$B1310,$O1309))</f>
        <v/>
      </c>
    </row>
    <row r="1311">
      <c r="N1311">
        <f>IF($A1311="","",IF(COUNTIFS($A$2:$A1311,$A1311,$C$2:$C1311,$C1311)=1,1,0))</f>
        <v/>
      </c>
      <c r="O1311">
        <f>IF($A1311="","",IF($B1311&lt;&gt;"",$B1311,$O1310))</f>
        <v/>
      </c>
    </row>
    <row r="1312">
      <c r="N1312">
        <f>IF($A1312="","",IF(COUNTIFS($A$2:$A1312,$A1312,$C$2:$C1312,$C1312)=1,1,0))</f>
        <v/>
      </c>
      <c r="O1312">
        <f>IF($A1312="","",IF($B1312&lt;&gt;"",$B1312,$O1311))</f>
        <v/>
      </c>
    </row>
    <row r="1313">
      <c r="N1313">
        <f>IF($A1313="","",IF(COUNTIFS($A$2:$A1313,$A1313,$C$2:$C1313,$C1313)=1,1,0))</f>
        <v/>
      </c>
      <c r="O1313">
        <f>IF($A1313="","",IF($B1313&lt;&gt;"",$B1313,$O1312))</f>
        <v/>
      </c>
    </row>
    <row r="1314">
      <c r="N1314">
        <f>IF($A1314="","",IF(COUNTIFS($A$2:$A1314,$A1314,$C$2:$C1314,$C1314)=1,1,0))</f>
        <v/>
      </c>
      <c r="O1314">
        <f>IF($A1314="","",IF($B1314&lt;&gt;"",$B1314,$O1313))</f>
        <v/>
      </c>
    </row>
    <row r="1315">
      <c r="N1315">
        <f>IF($A1315="","",IF(COUNTIFS($A$2:$A1315,$A1315,$C$2:$C1315,$C1315)=1,1,0))</f>
        <v/>
      </c>
      <c r="O1315">
        <f>IF($A1315="","",IF($B1315&lt;&gt;"",$B1315,$O1314))</f>
        <v/>
      </c>
    </row>
    <row r="1316">
      <c r="N1316">
        <f>IF($A1316="","",IF(COUNTIFS($A$2:$A1316,$A1316,$C$2:$C1316,$C1316)=1,1,0))</f>
        <v/>
      </c>
      <c r="O1316">
        <f>IF($A1316="","",IF($B1316&lt;&gt;"",$B1316,$O1315))</f>
        <v/>
      </c>
    </row>
    <row r="1317">
      <c r="N1317">
        <f>IF($A1317="","",IF(COUNTIFS($A$2:$A1317,$A1317,$C$2:$C1317,$C1317)=1,1,0))</f>
        <v/>
      </c>
      <c r="O1317">
        <f>IF($A1317="","",IF($B1317&lt;&gt;"",$B1317,$O1316))</f>
        <v/>
      </c>
    </row>
    <row r="1318">
      <c r="N1318">
        <f>IF($A1318="","",IF(COUNTIFS($A$2:$A1318,$A1318,$C$2:$C1318,$C1318)=1,1,0))</f>
        <v/>
      </c>
      <c r="O1318">
        <f>IF($A1318="","",IF($B1318&lt;&gt;"",$B1318,$O1317))</f>
        <v/>
      </c>
    </row>
    <row r="1319">
      <c r="N1319">
        <f>IF($A1319="","",IF(COUNTIFS($A$2:$A1319,$A1319,$C$2:$C1319,$C1319)=1,1,0))</f>
        <v/>
      </c>
      <c r="O1319">
        <f>IF($A1319="","",IF($B1319&lt;&gt;"",$B1319,$O1318))</f>
        <v/>
      </c>
    </row>
    <row r="1320">
      <c r="N1320">
        <f>IF($A1320="","",IF(COUNTIFS($A$2:$A1320,$A1320,$C$2:$C1320,$C1320)=1,1,0))</f>
        <v/>
      </c>
      <c r="O1320">
        <f>IF($A1320="","",IF($B1320&lt;&gt;"",$B1320,$O1319))</f>
        <v/>
      </c>
    </row>
    <row r="1321">
      <c r="N1321">
        <f>IF($A1321="","",IF(COUNTIFS($A$2:$A1321,$A1321,$C$2:$C1321,$C1321)=1,1,0))</f>
        <v/>
      </c>
      <c r="O1321">
        <f>IF($A1321="","",IF($B1321&lt;&gt;"",$B1321,$O1320))</f>
        <v/>
      </c>
    </row>
    <row r="1322">
      <c r="N1322">
        <f>IF($A1322="","",IF(COUNTIFS($A$2:$A1322,$A1322,$C$2:$C1322,$C1322)=1,1,0))</f>
        <v/>
      </c>
      <c r="O1322">
        <f>IF($A1322="","",IF($B1322&lt;&gt;"",$B1322,$O1321))</f>
        <v/>
      </c>
    </row>
    <row r="1323">
      <c r="N1323">
        <f>IF($A1323="","",IF(COUNTIFS($A$2:$A1323,$A1323,$C$2:$C1323,$C1323)=1,1,0))</f>
        <v/>
      </c>
      <c r="O1323">
        <f>IF($A1323="","",IF($B1323&lt;&gt;"",$B1323,$O1322))</f>
        <v/>
      </c>
    </row>
    <row r="1324">
      <c r="N1324">
        <f>IF($A1324="","",IF(COUNTIFS($A$2:$A1324,$A1324,$C$2:$C1324,$C1324)=1,1,0))</f>
        <v/>
      </c>
      <c r="O1324">
        <f>IF($A1324="","",IF($B1324&lt;&gt;"",$B1324,$O1323))</f>
        <v/>
      </c>
    </row>
    <row r="1325">
      <c r="N1325">
        <f>IF($A1325="","",IF(COUNTIFS($A$2:$A1325,$A1325,$C$2:$C1325,$C1325)=1,1,0))</f>
        <v/>
      </c>
      <c r="O1325">
        <f>IF($A1325="","",IF($B1325&lt;&gt;"",$B1325,$O1324))</f>
        <v/>
      </c>
    </row>
    <row r="1326">
      <c r="N1326">
        <f>IF($A1326="","",IF(COUNTIFS($A$2:$A1326,$A1326,$C$2:$C1326,$C1326)=1,1,0))</f>
        <v/>
      </c>
      <c r="O1326">
        <f>IF($A1326="","",IF($B1326&lt;&gt;"",$B1326,$O1325))</f>
        <v/>
      </c>
    </row>
    <row r="1327">
      <c r="N1327">
        <f>IF($A1327="","",IF(COUNTIFS($A$2:$A1327,$A1327,$C$2:$C1327,$C1327)=1,1,0))</f>
        <v/>
      </c>
      <c r="O1327">
        <f>IF($A1327="","",IF($B1327&lt;&gt;"",$B1327,$O1326))</f>
        <v/>
      </c>
    </row>
    <row r="1328">
      <c r="N1328">
        <f>IF($A1328="","",IF(COUNTIFS($A$2:$A1328,$A1328,$C$2:$C1328,$C1328)=1,1,0))</f>
        <v/>
      </c>
      <c r="O1328">
        <f>IF($A1328="","",IF($B1328&lt;&gt;"",$B1328,$O1327))</f>
        <v/>
      </c>
    </row>
    <row r="1329">
      <c r="N1329">
        <f>IF($A1329="","",IF(COUNTIFS($A$2:$A1329,$A1329,$C$2:$C1329,$C1329)=1,1,0))</f>
        <v/>
      </c>
      <c r="O1329">
        <f>IF($A1329="","",IF($B1329&lt;&gt;"",$B1329,$O1328))</f>
        <v/>
      </c>
    </row>
    <row r="1330">
      <c r="N1330">
        <f>IF($A1330="","",IF(COUNTIFS($A$2:$A1330,$A1330,$C$2:$C1330,$C1330)=1,1,0))</f>
        <v/>
      </c>
      <c r="O1330">
        <f>IF($A1330="","",IF($B1330&lt;&gt;"",$B1330,$O1329))</f>
        <v/>
      </c>
    </row>
    <row r="1331">
      <c r="N1331">
        <f>IF($A1331="","",IF(COUNTIFS($A$2:$A1331,$A1331,$C$2:$C1331,$C1331)=1,1,0))</f>
        <v/>
      </c>
      <c r="O1331">
        <f>IF($A1331="","",IF($B1331&lt;&gt;"",$B1331,$O1330))</f>
        <v/>
      </c>
    </row>
    <row r="1332">
      <c r="N1332">
        <f>IF($A1332="","",IF(COUNTIFS($A$2:$A1332,$A1332,$C$2:$C1332,$C1332)=1,1,0))</f>
        <v/>
      </c>
      <c r="O1332">
        <f>IF($A1332="","",IF($B1332&lt;&gt;"",$B1332,$O1331))</f>
        <v/>
      </c>
    </row>
    <row r="1333">
      <c r="N1333">
        <f>IF($A1333="","",IF(COUNTIFS($A$2:$A1333,$A1333,$C$2:$C1333,$C1333)=1,1,0))</f>
        <v/>
      </c>
      <c r="O1333">
        <f>IF($A1333="","",IF($B1333&lt;&gt;"",$B1333,$O1332))</f>
        <v/>
      </c>
    </row>
    <row r="1334">
      <c r="N1334">
        <f>IF($A1334="","",IF(COUNTIFS($A$2:$A1334,$A1334,$C$2:$C1334,$C1334)=1,1,0))</f>
        <v/>
      </c>
      <c r="O1334">
        <f>IF($A1334="","",IF($B1334&lt;&gt;"",$B1334,$O1333))</f>
        <v/>
      </c>
    </row>
    <row r="1335">
      <c r="N1335">
        <f>IF($A1335="","",IF(COUNTIFS($A$2:$A1335,$A1335,$C$2:$C1335,$C1335)=1,1,0))</f>
        <v/>
      </c>
      <c r="O1335">
        <f>IF($A1335="","",IF($B1335&lt;&gt;"",$B1335,$O1334))</f>
        <v/>
      </c>
    </row>
    <row r="1336">
      <c r="N1336">
        <f>IF($A1336="","",IF(COUNTIFS($A$2:$A1336,$A1336,$C$2:$C1336,$C1336)=1,1,0))</f>
        <v/>
      </c>
      <c r="O1336">
        <f>IF($A1336="","",IF($B1336&lt;&gt;"",$B1336,$O1335))</f>
        <v/>
      </c>
    </row>
    <row r="1337">
      <c r="N1337">
        <f>IF($A1337="","",IF(COUNTIFS($A$2:$A1337,$A1337,$C$2:$C1337,$C1337)=1,1,0))</f>
        <v/>
      </c>
      <c r="O1337">
        <f>IF($A1337="","",IF($B1337&lt;&gt;"",$B1337,$O1336))</f>
        <v/>
      </c>
    </row>
    <row r="1338">
      <c r="N1338">
        <f>IF($A1338="","",IF(COUNTIFS($A$2:$A1338,$A1338,$C$2:$C1338,$C1338)=1,1,0))</f>
        <v/>
      </c>
      <c r="O1338">
        <f>IF($A1338="","",IF($B1338&lt;&gt;"",$B1338,$O1337))</f>
        <v/>
      </c>
    </row>
    <row r="1339">
      <c r="N1339">
        <f>IF($A1339="","",IF(COUNTIFS($A$2:$A1339,$A1339,$C$2:$C1339,$C1339)=1,1,0))</f>
        <v/>
      </c>
      <c r="O1339">
        <f>IF($A1339="","",IF($B1339&lt;&gt;"",$B1339,$O1338))</f>
        <v/>
      </c>
    </row>
    <row r="1340">
      <c r="N1340">
        <f>IF($A1340="","",IF(COUNTIFS($A$2:$A1340,$A1340,$C$2:$C1340,$C1340)=1,1,0))</f>
        <v/>
      </c>
      <c r="O1340">
        <f>IF($A1340="","",IF($B1340&lt;&gt;"",$B1340,$O1339))</f>
        <v/>
      </c>
    </row>
    <row r="1341">
      <c r="N1341">
        <f>IF($A1341="","",IF(COUNTIFS($A$2:$A1341,$A1341,$C$2:$C1341,$C1341)=1,1,0))</f>
        <v/>
      </c>
      <c r="O1341">
        <f>IF($A1341="","",IF($B1341&lt;&gt;"",$B1341,$O1340))</f>
        <v/>
      </c>
    </row>
    <row r="1342">
      <c r="N1342">
        <f>IF($A1342="","",IF(COUNTIFS($A$2:$A1342,$A1342,$C$2:$C1342,$C1342)=1,1,0))</f>
        <v/>
      </c>
      <c r="O1342">
        <f>IF($A1342="","",IF($B1342&lt;&gt;"",$B1342,$O1341))</f>
        <v/>
      </c>
    </row>
    <row r="1343">
      <c r="N1343">
        <f>IF($A1343="","",IF(COUNTIFS($A$2:$A1343,$A1343,$C$2:$C1343,$C1343)=1,1,0))</f>
        <v/>
      </c>
      <c r="O1343">
        <f>IF($A1343="","",IF($B1343&lt;&gt;"",$B1343,$O1342))</f>
        <v/>
      </c>
    </row>
    <row r="1344">
      <c r="N1344">
        <f>IF($A1344="","",IF(COUNTIFS($A$2:$A1344,$A1344,$C$2:$C1344,$C1344)=1,1,0))</f>
        <v/>
      </c>
      <c r="O1344">
        <f>IF($A1344="","",IF($B1344&lt;&gt;"",$B1344,$O1343))</f>
        <v/>
      </c>
    </row>
    <row r="1345">
      <c r="N1345">
        <f>IF($A1345="","",IF(COUNTIFS($A$2:$A1345,$A1345,$C$2:$C1345,$C1345)=1,1,0))</f>
        <v/>
      </c>
      <c r="O1345">
        <f>IF($A1345="","",IF($B1345&lt;&gt;"",$B1345,$O1344))</f>
        <v/>
      </c>
    </row>
    <row r="1346">
      <c r="N1346">
        <f>IF($A1346="","",IF(COUNTIFS($A$2:$A1346,$A1346,$C$2:$C1346,$C1346)=1,1,0))</f>
        <v/>
      </c>
      <c r="O1346">
        <f>IF($A1346="","",IF($B1346&lt;&gt;"",$B1346,$O1345))</f>
        <v/>
      </c>
    </row>
    <row r="1347">
      <c r="N1347">
        <f>IF($A1347="","",IF(COUNTIFS($A$2:$A1347,$A1347,$C$2:$C1347,$C1347)=1,1,0))</f>
        <v/>
      </c>
      <c r="O1347">
        <f>IF($A1347="","",IF($B1347&lt;&gt;"",$B1347,$O1346))</f>
        <v/>
      </c>
    </row>
    <row r="1348">
      <c r="N1348">
        <f>IF($A1348="","",IF(COUNTIFS($A$2:$A1348,$A1348,$C$2:$C1348,$C1348)=1,1,0))</f>
        <v/>
      </c>
      <c r="O1348">
        <f>IF($A1348="","",IF($B1348&lt;&gt;"",$B1348,$O1347))</f>
        <v/>
      </c>
    </row>
    <row r="1349">
      <c r="N1349">
        <f>IF($A1349="","",IF(COUNTIFS($A$2:$A1349,$A1349,$C$2:$C1349,$C1349)=1,1,0))</f>
        <v/>
      </c>
      <c r="O1349">
        <f>IF($A1349="","",IF($B1349&lt;&gt;"",$B1349,$O1348))</f>
        <v/>
      </c>
    </row>
    <row r="1350">
      <c r="N1350">
        <f>IF($A1350="","",IF(COUNTIFS($A$2:$A1350,$A1350,$C$2:$C1350,$C1350)=1,1,0))</f>
        <v/>
      </c>
      <c r="O1350">
        <f>IF($A1350="","",IF($B1350&lt;&gt;"",$B1350,$O1349))</f>
        <v/>
      </c>
    </row>
    <row r="1351">
      <c r="N1351">
        <f>IF($A1351="","",IF(COUNTIFS($A$2:$A1351,$A1351,$C$2:$C1351,$C1351)=1,1,0))</f>
        <v/>
      </c>
      <c r="O1351">
        <f>IF($A1351="","",IF($B1351&lt;&gt;"",$B1351,$O1350))</f>
        <v/>
      </c>
    </row>
    <row r="1352">
      <c r="N1352">
        <f>IF($A1352="","",IF(COUNTIFS($A$2:$A1352,$A1352,$C$2:$C1352,$C1352)=1,1,0))</f>
        <v/>
      </c>
      <c r="O1352">
        <f>IF($A1352="","",IF($B1352&lt;&gt;"",$B1352,$O1351))</f>
        <v/>
      </c>
    </row>
    <row r="1353">
      <c r="N1353">
        <f>IF($A1353="","",IF(COUNTIFS($A$2:$A1353,$A1353,$C$2:$C1353,$C1353)=1,1,0))</f>
        <v/>
      </c>
      <c r="O1353">
        <f>IF($A1353="","",IF($B1353&lt;&gt;"",$B1353,$O1352))</f>
        <v/>
      </c>
    </row>
    <row r="1354">
      <c r="N1354">
        <f>IF($A1354="","",IF(COUNTIFS($A$2:$A1354,$A1354,$C$2:$C1354,$C1354)=1,1,0))</f>
        <v/>
      </c>
      <c r="O1354">
        <f>IF($A1354="","",IF($B1354&lt;&gt;"",$B1354,$O1353))</f>
        <v/>
      </c>
    </row>
    <row r="1355">
      <c r="N1355">
        <f>IF($A1355="","",IF(COUNTIFS($A$2:$A1355,$A1355,$C$2:$C1355,$C1355)=1,1,0))</f>
        <v/>
      </c>
      <c r="O1355">
        <f>IF($A1355="","",IF($B1355&lt;&gt;"",$B1355,$O1354))</f>
        <v/>
      </c>
    </row>
    <row r="1356">
      <c r="N1356">
        <f>IF($A1356="","",IF(COUNTIFS($A$2:$A1356,$A1356,$C$2:$C1356,$C1356)=1,1,0))</f>
        <v/>
      </c>
      <c r="O1356">
        <f>IF($A1356="","",IF($B1356&lt;&gt;"",$B1356,$O1355))</f>
        <v/>
      </c>
    </row>
    <row r="1357">
      <c r="N1357">
        <f>IF($A1357="","",IF(COUNTIFS($A$2:$A1357,$A1357,$C$2:$C1357,$C1357)=1,1,0))</f>
        <v/>
      </c>
      <c r="O1357">
        <f>IF($A1357="","",IF($B1357&lt;&gt;"",$B1357,$O1356))</f>
        <v/>
      </c>
    </row>
    <row r="1358">
      <c r="N1358">
        <f>IF($A1358="","",IF(COUNTIFS($A$2:$A1358,$A1358,$C$2:$C1358,$C1358)=1,1,0))</f>
        <v/>
      </c>
      <c r="O1358">
        <f>IF($A1358="","",IF($B1358&lt;&gt;"",$B1358,$O1357))</f>
        <v/>
      </c>
    </row>
    <row r="1359">
      <c r="N1359">
        <f>IF($A1359="","",IF(COUNTIFS($A$2:$A1359,$A1359,$C$2:$C1359,$C1359)=1,1,0))</f>
        <v/>
      </c>
      <c r="O1359">
        <f>IF($A1359="","",IF($B1359&lt;&gt;"",$B1359,$O1358))</f>
        <v/>
      </c>
    </row>
    <row r="1360">
      <c r="N1360">
        <f>IF($A1360="","",IF(COUNTIFS($A$2:$A1360,$A1360,$C$2:$C1360,$C1360)=1,1,0))</f>
        <v/>
      </c>
      <c r="O1360">
        <f>IF($A1360="","",IF($B1360&lt;&gt;"",$B1360,$O1359))</f>
        <v/>
      </c>
    </row>
    <row r="1361">
      <c r="N1361">
        <f>IF($A1361="","",IF(COUNTIFS($A$2:$A1361,$A1361,$C$2:$C1361,$C1361)=1,1,0))</f>
        <v/>
      </c>
      <c r="O1361">
        <f>IF($A1361="","",IF($B1361&lt;&gt;"",$B1361,$O1360))</f>
        <v/>
      </c>
    </row>
    <row r="1362">
      <c r="N1362">
        <f>IF($A1362="","",IF(COUNTIFS($A$2:$A1362,$A1362,$C$2:$C1362,$C1362)=1,1,0))</f>
        <v/>
      </c>
      <c r="O1362">
        <f>IF($A1362="","",IF($B1362&lt;&gt;"",$B1362,$O1361))</f>
        <v/>
      </c>
    </row>
    <row r="1363">
      <c r="N1363">
        <f>IF($A1363="","",IF(COUNTIFS($A$2:$A1363,$A1363,$C$2:$C1363,$C1363)=1,1,0))</f>
        <v/>
      </c>
      <c r="O1363">
        <f>IF($A1363="","",IF($B1363&lt;&gt;"",$B1363,$O1362))</f>
        <v/>
      </c>
    </row>
    <row r="1364">
      <c r="N1364">
        <f>IF($A1364="","",IF(COUNTIFS($A$2:$A1364,$A1364,$C$2:$C1364,$C1364)=1,1,0))</f>
        <v/>
      </c>
      <c r="O1364">
        <f>IF($A1364="","",IF($B1364&lt;&gt;"",$B1364,$O1363))</f>
        <v/>
      </c>
    </row>
    <row r="1365">
      <c r="N1365">
        <f>IF($A1365="","",IF(COUNTIFS($A$2:$A1365,$A1365,$C$2:$C1365,$C1365)=1,1,0))</f>
        <v/>
      </c>
      <c r="O1365">
        <f>IF($A1365="","",IF($B1365&lt;&gt;"",$B1365,$O1364))</f>
        <v/>
      </c>
    </row>
    <row r="1366">
      <c r="N1366">
        <f>IF($A1366="","",IF(COUNTIFS($A$2:$A1366,$A1366,$C$2:$C1366,$C1366)=1,1,0))</f>
        <v/>
      </c>
      <c r="O1366">
        <f>IF($A1366="","",IF($B1366&lt;&gt;"",$B1366,$O1365))</f>
        <v/>
      </c>
    </row>
    <row r="1367">
      <c r="N1367">
        <f>IF($A1367="","",IF(COUNTIFS($A$2:$A1367,$A1367,$C$2:$C1367,$C1367)=1,1,0))</f>
        <v/>
      </c>
      <c r="O1367">
        <f>IF($A1367="","",IF($B1367&lt;&gt;"",$B1367,$O1366))</f>
        <v/>
      </c>
    </row>
    <row r="1368">
      <c r="N1368">
        <f>IF($A1368="","",IF(COUNTIFS($A$2:$A1368,$A1368,$C$2:$C1368,$C1368)=1,1,0))</f>
        <v/>
      </c>
      <c r="O1368">
        <f>IF($A1368="","",IF($B1368&lt;&gt;"",$B1368,$O1367))</f>
        <v/>
      </c>
    </row>
    <row r="1369">
      <c r="N1369">
        <f>IF($A1369="","",IF(COUNTIFS($A$2:$A1369,$A1369,$C$2:$C1369,$C1369)=1,1,0))</f>
        <v/>
      </c>
      <c r="O1369">
        <f>IF($A1369="","",IF($B1369&lt;&gt;"",$B1369,$O1368))</f>
        <v/>
      </c>
    </row>
    <row r="1370">
      <c r="N1370">
        <f>IF($A1370="","",IF(COUNTIFS($A$2:$A1370,$A1370,$C$2:$C1370,$C1370)=1,1,0))</f>
        <v/>
      </c>
      <c r="O1370">
        <f>IF($A1370="","",IF($B1370&lt;&gt;"",$B1370,$O1369))</f>
        <v/>
      </c>
    </row>
    <row r="1371">
      <c r="N1371">
        <f>IF($A1371="","",IF(COUNTIFS($A$2:$A1371,$A1371,$C$2:$C1371,$C1371)=1,1,0))</f>
        <v/>
      </c>
      <c r="O1371">
        <f>IF($A1371="","",IF($B1371&lt;&gt;"",$B1371,$O1370))</f>
        <v/>
      </c>
    </row>
    <row r="1372">
      <c r="N1372">
        <f>IF($A1372="","",IF(COUNTIFS($A$2:$A1372,$A1372,$C$2:$C1372,$C1372)=1,1,0))</f>
        <v/>
      </c>
      <c r="O1372">
        <f>IF($A1372="","",IF($B1372&lt;&gt;"",$B1372,$O1371))</f>
        <v/>
      </c>
    </row>
    <row r="1373">
      <c r="N1373">
        <f>IF($A1373="","",IF(COUNTIFS($A$2:$A1373,$A1373,$C$2:$C1373,$C1373)=1,1,0))</f>
        <v/>
      </c>
      <c r="O1373">
        <f>IF($A1373="","",IF($B1373&lt;&gt;"",$B1373,$O1372))</f>
        <v/>
      </c>
    </row>
    <row r="1374">
      <c r="N1374">
        <f>IF($A1374="","",IF(COUNTIFS($A$2:$A1374,$A1374,$C$2:$C1374,$C1374)=1,1,0))</f>
        <v/>
      </c>
      <c r="O1374">
        <f>IF($A1374="","",IF($B1374&lt;&gt;"",$B1374,$O1373))</f>
        <v/>
      </c>
    </row>
    <row r="1375">
      <c r="N1375">
        <f>IF($A1375="","",IF(COUNTIFS($A$2:$A1375,$A1375,$C$2:$C1375,$C1375)=1,1,0))</f>
        <v/>
      </c>
      <c r="O1375">
        <f>IF($A1375="","",IF($B1375&lt;&gt;"",$B1375,$O1374))</f>
        <v/>
      </c>
    </row>
    <row r="1376">
      <c r="N1376">
        <f>IF($A1376="","",IF(COUNTIFS($A$2:$A1376,$A1376,$C$2:$C1376,$C1376)=1,1,0))</f>
        <v/>
      </c>
      <c r="O1376">
        <f>IF($A1376="","",IF($B1376&lt;&gt;"",$B1376,$O1375))</f>
        <v/>
      </c>
    </row>
    <row r="1377">
      <c r="N1377">
        <f>IF($A1377="","",IF(COUNTIFS($A$2:$A1377,$A1377,$C$2:$C1377,$C1377)=1,1,0))</f>
        <v/>
      </c>
      <c r="O1377">
        <f>IF($A1377="","",IF($B1377&lt;&gt;"",$B1377,$O1376))</f>
        <v/>
      </c>
    </row>
    <row r="1378">
      <c r="N1378">
        <f>IF($A1378="","",IF(COUNTIFS($A$2:$A1378,$A1378,$C$2:$C1378,$C1378)=1,1,0))</f>
        <v/>
      </c>
      <c r="O1378">
        <f>IF($A1378="","",IF($B1378&lt;&gt;"",$B1378,$O1377))</f>
        <v/>
      </c>
    </row>
    <row r="1379">
      <c r="N1379">
        <f>IF($A1379="","",IF(COUNTIFS($A$2:$A1379,$A1379,$C$2:$C1379,$C1379)=1,1,0))</f>
        <v/>
      </c>
      <c r="O1379">
        <f>IF($A1379="","",IF($B1379&lt;&gt;"",$B1379,$O1378))</f>
        <v/>
      </c>
    </row>
    <row r="1380">
      <c r="N1380">
        <f>IF($A1380="","",IF(COUNTIFS($A$2:$A1380,$A1380,$C$2:$C1380,$C1380)=1,1,0))</f>
        <v/>
      </c>
      <c r="O1380">
        <f>IF($A1380="","",IF($B1380&lt;&gt;"",$B1380,$O1379))</f>
        <v/>
      </c>
    </row>
    <row r="1381">
      <c r="N1381">
        <f>IF($A1381="","",IF(COUNTIFS($A$2:$A1381,$A1381,$C$2:$C1381,$C1381)=1,1,0))</f>
        <v/>
      </c>
      <c r="O1381">
        <f>IF($A1381="","",IF($B1381&lt;&gt;"",$B1381,$O1380))</f>
        <v/>
      </c>
    </row>
    <row r="1382">
      <c r="N1382">
        <f>IF($A1382="","",IF(COUNTIFS($A$2:$A1382,$A1382,$C$2:$C1382,$C1382)=1,1,0))</f>
        <v/>
      </c>
      <c r="O1382">
        <f>IF($A1382="","",IF($B1382&lt;&gt;"",$B1382,$O1381))</f>
        <v/>
      </c>
    </row>
    <row r="1383">
      <c r="N1383">
        <f>IF($A1383="","",IF(COUNTIFS($A$2:$A1383,$A1383,$C$2:$C1383,$C1383)=1,1,0))</f>
        <v/>
      </c>
      <c r="O1383">
        <f>IF($A1383="","",IF($B1383&lt;&gt;"",$B1383,$O1382))</f>
        <v/>
      </c>
    </row>
    <row r="1384">
      <c r="N1384">
        <f>IF($A1384="","",IF(COUNTIFS($A$2:$A1384,$A1384,$C$2:$C1384,$C1384)=1,1,0))</f>
        <v/>
      </c>
      <c r="O1384">
        <f>IF($A1384="","",IF($B1384&lt;&gt;"",$B1384,$O1383))</f>
        <v/>
      </c>
    </row>
    <row r="1385">
      <c r="N1385">
        <f>IF($A1385="","",IF(COUNTIFS($A$2:$A1385,$A1385,$C$2:$C1385,$C1385)=1,1,0))</f>
        <v/>
      </c>
      <c r="O1385">
        <f>IF($A1385="","",IF($B1385&lt;&gt;"",$B1385,$O1384))</f>
        <v/>
      </c>
    </row>
    <row r="1386">
      <c r="N1386">
        <f>IF($A1386="","",IF(COUNTIFS($A$2:$A1386,$A1386,$C$2:$C1386,$C1386)=1,1,0))</f>
        <v/>
      </c>
      <c r="O1386">
        <f>IF($A1386="","",IF($B1386&lt;&gt;"",$B1386,$O1385))</f>
        <v/>
      </c>
    </row>
    <row r="1387">
      <c r="N1387">
        <f>IF($A1387="","",IF(COUNTIFS($A$2:$A1387,$A1387,$C$2:$C1387,$C1387)=1,1,0))</f>
        <v/>
      </c>
      <c r="O1387">
        <f>IF($A1387="","",IF($B1387&lt;&gt;"",$B1387,$O1386))</f>
        <v/>
      </c>
    </row>
    <row r="1388">
      <c r="N1388">
        <f>IF($A1388="","",IF(COUNTIFS($A$2:$A1388,$A1388,$C$2:$C1388,$C1388)=1,1,0))</f>
        <v/>
      </c>
      <c r="O1388">
        <f>IF($A1388="","",IF($B1388&lt;&gt;"",$B1388,$O1387))</f>
        <v/>
      </c>
    </row>
    <row r="1389">
      <c r="N1389">
        <f>IF($A1389="","",IF(COUNTIFS($A$2:$A1389,$A1389,$C$2:$C1389,$C1389)=1,1,0))</f>
        <v/>
      </c>
      <c r="O1389">
        <f>IF($A1389="","",IF($B1389&lt;&gt;"",$B1389,$O1388))</f>
        <v/>
      </c>
    </row>
    <row r="1390">
      <c r="N1390">
        <f>IF($A1390="","",IF(COUNTIFS($A$2:$A1390,$A1390,$C$2:$C1390,$C1390)=1,1,0))</f>
        <v/>
      </c>
      <c r="O1390">
        <f>IF($A1390="","",IF($B1390&lt;&gt;"",$B1390,$O1389))</f>
        <v/>
      </c>
    </row>
    <row r="1391">
      <c r="N1391">
        <f>IF($A1391="","",IF(COUNTIFS($A$2:$A1391,$A1391,$C$2:$C1391,$C1391)=1,1,0))</f>
        <v/>
      </c>
      <c r="O1391">
        <f>IF($A1391="","",IF($B1391&lt;&gt;"",$B1391,$O1390))</f>
        <v/>
      </c>
    </row>
    <row r="1392">
      <c r="N1392">
        <f>IF($A1392="","",IF(COUNTIFS($A$2:$A1392,$A1392,$C$2:$C1392,$C1392)=1,1,0))</f>
        <v/>
      </c>
      <c r="O1392">
        <f>IF($A1392="","",IF($B1392&lt;&gt;"",$B1392,$O1391))</f>
        <v/>
      </c>
    </row>
    <row r="1393">
      <c r="N1393">
        <f>IF($A1393="","",IF(COUNTIFS($A$2:$A1393,$A1393,$C$2:$C1393,$C1393)=1,1,0))</f>
        <v/>
      </c>
      <c r="O1393">
        <f>IF($A1393="","",IF($B1393&lt;&gt;"",$B1393,$O1392))</f>
        <v/>
      </c>
    </row>
    <row r="1394">
      <c r="N1394">
        <f>IF($A1394="","",IF(COUNTIFS($A$2:$A1394,$A1394,$C$2:$C1394,$C1394)=1,1,0))</f>
        <v/>
      </c>
      <c r="O1394">
        <f>IF($A1394="","",IF($B1394&lt;&gt;"",$B1394,$O1393))</f>
        <v/>
      </c>
    </row>
    <row r="1395">
      <c r="N1395">
        <f>IF($A1395="","",IF(COUNTIFS($A$2:$A1395,$A1395,$C$2:$C1395,$C1395)=1,1,0))</f>
        <v/>
      </c>
      <c r="O1395">
        <f>IF($A1395="","",IF($B1395&lt;&gt;"",$B1395,$O1394))</f>
        <v/>
      </c>
    </row>
    <row r="1396">
      <c r="N1396">
        <f>IF($A1396="","",IF(COUNTIFS($A$2:$A1396,$A1396,$C$2:$C1396,$C1396)=1,1,0))</f>
        <v/>
      </c>
      <c r="O1396">
        <f>IF($A1396="","",IF($B1396&lt;&gt;"",$B1396,$O1395))</f>
        <v/>
      </c>
    </row>
    <row r="1397">
      <c r="N1397">
        <f>IF($A1397="","",IF(COUNTIFS($A$2:$A1397,$A1397,$C$2:$C1397,$C1397)=1,1,0))</f>
        <v/>
      </c>
      <c r="O1397">
        <f>IF($A1397="","",IF($B1397&lt;&gt;"",$B1397,$O1396))</f>
        <v/>
      </c>
    </row>
    <row r="1398">
      <c r="N1398">
        <f>IF($A1398="","",IF(COUNTIFS($A$2:$A1398,$A1398,$C$2:$C1398,$C1398)=1,1,0))</f>
        <v/>
      </c>
      <c r="O1398">
        <f>IF($A1398="","",IF($B1398&lt;&gt;"",$B1398,$O1397))</f>
        <v/>
      </c>
    </row>
    <row r="1399">
      <c r="N1399">
        <f>IF($A1399="","",IF(COUNTIFS($A$2:$A1399,$A1399,$C$2:$C1399,$C1399)=1,1,0))</f>
        <v/>
      </c>
      <c r="O1399">
        <f>IF($A1399="","",IF($B1399&lt;&gt;"",$B1399,$O1398))</f>
        <v/>
      </c>
    </row>
    <row r="1400">
      <c r="N1400">
        <f>IF($A1400="","",IF(COUNTIFS($A$2:$A1400,$A1400,$C$2:$C1400,$C1400)=1,1,0))</f>
        <v/>
      </c>
      <c r="O1400">
        <f>IF($A1400="","",IF($B1400&lt;&gt;"",$B1400,$O1399))</f>
        <v/>
      </c>
    </row>
    <row r="1401">
      <c r="N1401">
        <f>IF($A1401="","",IF(COUNTIFS($A$2:$A1401,$A1401,$C$2:$C1401,$C1401)=1,1,0))</f>
        <v/>
      </c>
      <c r="O1401">
        <f>IF($A1401="","",IF($B1401&lt;&gt;"",$B1401,$O1400))</f>
        <v/>
      </c>
    </row>
    <row r="1402">
      <c r="N1402">
        <f>IF($A1402="","",IF(COUNTIFS($A$2:$A1402,$A1402,$C$2:$C1402,$C1402)=1,1,0))</f>
        <v/>
      </c>
      <c r="O1402">
        <f>IF($A1402="","",IF($B1402&lt;&gt;"",$B1402,$O1401))</f>
        <v/>
      </c>
    </row>
    <row r="1403">
      <c r="N1403">
        <f>IF($A1403="","",IF(COUNTIFS($A$2:$A1403,$A1403,$C$2:$C1403,$C1403)=1,1,0))</f>
        <v/>
      </c>
      <c r="O1403">
        <f>IF($A1403="","",IF($B1403&lt;&gt;"",$B1403,$O1402))</f>
        <v/>
      </c>
    </row>
    <row r="1404">
      <c r="N1404">
        <f>IF($A1404="","",IF(COUNTIFS($A$2:$A1404,$A1404,$C$2:$C1404,$C1404)=1,1,0))</f>
        <v/>
      </c>
      <c r="O1404">
        <f>IF($A1404="","",IF($B1404&lt;&gt;"",$B1404,$O1403))</f>
        <v/>
      </c>
    </row>
    <row r="1405">
      <c r="N1405">
        <f>IF($A1405="","",IF(COUNTIFS($A$2:$A1405,$A1405,$C$2:$C1405,$C1405)=1,1,0))</f>
        <v/>
      </c>
      <c r="O1405">
        <f>IF($A1405="","",IF($B1405&lt;&gt;"",$B1405,$O1404))</f>
        <v/>
      </c>
    </row>
    <row r="1406">
      <c r="N1406">
        <f>IF($A1406="","",IF(COUNTIFS($A$2:$A1406,$A1406,$C$2:$C1406,$C1406)=1,1,0))</f>
        <v/>
      </c>
      <c r="O1406">
        <f>IF($A1406="","",IF($B1406&lt;&gt;"",$B1406,$O1405))</f>
        <v/>
      </c>
    </row>
    <row r="1407">
      <c r="N1407">
        <f>IF($A1407="","",IF(COUNTIFS($A$2:$A1407,$A1407,$C$2:$C1407,$C1407)=1,1,0))</f>
        <v/>
      </c>
      <c r="O1407">
        <f>IF($A1407="","",IF($B1407&lt;&gt;"",$B1407,$O1406))</f>
        <v/>
      </c>
    </row>
    <row r="1408">
      <c r="N1408">
        <f>IF($A1408="","",IF(COUNTIFS($A$2:$A1408,$A1408,$C$2:$C1408,$C1408)=1,1,0))</f>
        <v/>
      </c>
      <c r="O1408">
        <f>IF($A1408="","",IF($B1408&lt;&gt;"",$B1408,$O1407))</f>
        <v/>
      </c>
    </row>
    <row r="1409">
      <c r="N1409">
        <f>IF($A1409="","",IF(COUNTIFS($A$2:$A1409,$A1409,$C$2:$C1409,$C1409)=1,1,0))</f>
        <v/>
      </c>
      <c r="O1409">
        <f>IF($A1409="","",IF($B1409&lt;&gt;"",$B1409,$O1408))</f>
        <v/>
      </c>
    </row>
    <row r="1410">
      <c r="N1410">
        <f>IF($A1410="","",IF(COUNTIFS($A$2:$A1410,$A1410,$C$2:$C1410,$C1410)=1,1,0))</f>
        <v/>
      </c>
      <c r="O1410">
        <f>IF($A1410="","",IF($B1410&lt;&gt;"",$B1410,$O1409))</f>
        <v/>
      </c>
    </row>
    <row r="1411">
      <c r="N1411">
        <f>IF($A1411="","",IF(COUNTIFS($A$2:$A1411,$A1411,$C$2:$C1411,$C1411)=1,1,0))</f>
        <v/>
      </c>
      <c r="O1411">
        <f>IF($A1411="","",IF($B1411&lt;&gt;"",$B1411,$O1410))</f>
        <v/>
      </c>
    </row>
    <row r="1412">
      <c r="N1412">
        <f>IF($A1412="","",IF(COUNTIFS($A$2:$A1412,$A1412,$C$2:$C1412,$C1412)=1,1,0))</f>
        <v/>
      </c>
      <c r="O1412">
        <f>IF($A1412="","",IF($B1412&lt;&gt;"",$B1412,$O1411))</f>
        <v/>
      </c>
    </row>
    <row r="1413">
      <c r="N1413">
        <f>IF($A1413="","",IF(COUNTIFS($A$2:$A1413,$A1413,$C$2:$C1413,$C1413)=1,1,0))</f>
        <v/>
      </c>
      <c r="O1413">
        <f>IF($A1413="","",IF($B1413&lt;&gt;"",$B1413,$O1412))</f>
        <v/>
      </c>
    </row>
    <row r="1414">
      <c r="N1414">
        <f>IF($A1414="","",IF(COUNTIFS($A$2:$A1414,$A1414,$C$2:$C1414,$C1414)=1,1,0))</f>
        <v/>
      </c>
      <c r="O1414">
        <f>IF($A1414="","",IF($B1414&lt;&gt;"",$B1414,$O1413))</f>
        <v/>
      </c>
    </row>
    <row r="1415">
      <c r="N1415">
        <f>IF($A1415="","",IF(COUNTIFS($A$2:$A1415,$A1415,$C$2:$C1415,$C1415)=1,1,0))</f>
        <v/>
      </c>
      <c r="O1415">
        <f>IF($A1415="","",IF($B1415&lt;&gt;"",$B1415,$O1414))</f>
        <v/>
      </c>
    </row>
    <row r="1416">
      <c r="N1416">
        <f>IF($A1416="","",IF(COUNTIFS($A$2:$A1416,$A1416,$C$2:$C1416,$C1416)=1,1,0))</f>
        <v/>
      </c>
      <c r="O1416">
        <f>IF($A1416="","",IF($B1416&lt;&gt;"",$B1416,$O1415))</f>
        <v/>
      </c>
    </row>
    <row r="1417">
      <c r="N1417">
        <f>IF($A1417="","",IF(COUNTIFS($A$2:$A1417,$A1417,$C$2:$C1417,$C1417)=1,1,0))</f>
        <v/>
      </c>
      <c r="O1417">
        <f>IF($A1417="","",IF($B1417&lt;&gt;"",$B1417,$O1416))</f>
        <v/>
      </c>
    </row>
    <row r="1418">
      <c r="N1418">
        <f>IF($A1418="","",IF(COUNTIFS($A$2:$A1418,$A1418,$C$2:$C1418,$C1418)=1,1,0))</f>
        <v/>
      </c>
      <c r="O1418">
        <f>IF($A1418="","",IF($B1418&lt;&gt;"",$B1418,$O1417))</f>
        <v/>
      </c>
    </row>
    <row r="1419">
      <c r="N1419">
        <f>IF($A1419="","",IF(COUNTIFS($A$2:$A1419,$A1419,$C$2:$C1419,$C1419)=1,1,0))</f>
        <v/>
      </c>
      <c r="O1419">
        <f>IF($A1419="","",IF($B1419&lt;&gt;"",$B1419,$O1418))</f>
        <v/>
      </c>
    </row>
    <row r="1420">
      <c r="N1420">
        <f>IF($A1420="","",IF(COUNTIFS($A$2:$A1420,$A1420,$C$2:$C1420,$C1420)=1,1,0))</f>
        <v/>
      </c>
      <c r="O1420">
        <f>IF($A1420="","",IF($B1420&lt;&gt;"",$B1420,$O1419))</f>
        <v/>
      </c>
    </row>
    <row r="1421">
      <c r="N1421">
        <f>IF($A1421="","",IF(COUNTIFS($A$2:$A1421,$A1421,$C$2:$C1421,$C1421)=1,1,0))</f>
        <v/>
      </c>
      <c r="O1421">
        <f>IF($A1421="","",IF($B1421&lt;&gt;"",$B1421,$O1420))</f>
        <v/>
      </c>
    </row>
    <row r="1422">
      <c r="N1422">
        <f>IF($A1422="","",IF(COUNTIFS($A$2:$A1422,$A1422,$C$2:$C1422,$C1422)=1,1,0))</f>
        <v/>
      </c>
      <c r="O1422">
        <f>IF($A1422="","",IF($B1422&lt;&gt;"",$B1422,$O1421))</f>
        <v/>
      </c>
    </row>
    <row r="1423">
      <c r="N1423">
        <f>IF($A1423="","",IF(COUNTIFS($A$2:$A1423,$A1423,$C$2:$C1423,$C1423)=1,1,0))</f>
        <v/>
      </c>
      <c r="O1423">
        <f>IF($A1423="","",IF($B1423&lt;&gt;"",$B1423,$O1422))</f>
        <v/>
      </c>
    </row>
    <row r="1424">
      <c r="N1424">
        <f>IF($A1424="","",IF(COUNTIFS($A$2:$A1424,$A1424,$C$2:$C1424,$C1424)=1,1,0))</f>
        <v/>
      </c>
      <c r="O1424">
        <f>IF($A1424="","",IF($B1424&lt;&gt;"",$B1424,$O1423))</f>
        <v/>
      </c>
    </row>
    <row r="1425">
      <c r="N1425">
        <f>IF($A1425="","",IF(COUNTIFS($A$2:$A1425,$A1425,$C$2:$C1425,$C1425)=1,1,0))</f>
        <v/>
      </c>
      <c r="O1425">
        <f>IF($A1425="","",IF($B1425&lt;&gt;"",$B1425,$O1424))</f>
        <v/>
      </c>
    </row>
    <row r="1426">
      <c r="N1426">
        <f>IF($A1426="","",IF(COUNTIFS($A$2:$A1426,$A1426,$C$2:$C1426,$C1426)=1,1,0))</f>
        <v/>
      </c>
      <c r="O1426">
        <f>IF($A1426="","",IF($B1426&lt;&gt;"",$B1426,$O1425))</f>
        <v/>
      </c>
    </row>
    <row r="1427">
      <c r="N1427">
        <f>IF($A1427="","",IF(COUNTIFS($A$2:$A1427,$A1427,$C$2:$C1427,$C1427)=1,1,0))</f>
        <v/>
      </c>
      <c r="O1427">
        <f>IF($A1427="","",IF($B1427&lt;&gt;"",$B1427,$O1426))</f>
        <v/>
      </c>
    </row>
    <row r="1428">
      <c r="N1428">
        <f>IF($A1428="","",IF(COUNTIFS($A$2:$A1428,$A1428,$C$2:$C1428,$C1428)=1,1,0))</f>
        <v/>
      </c>
      <c r="O1428">
        <f>IF($A1428="","",IF($B1428&lt;&gt;"",$B1428,$O1427))</f>
        <v/>
      </c>
    </row>
    <row r="1429">
      <c r="N1429">
        <f>IF($A1429="","",IF(COUNTIFS($A$2:$A1429,$A1429,$C$2:$C1429,$C1429)=1,1,0))</f>
        <v/>
      </c>
      <c r="O1429">
        <f>IF($A1429="","",IF($B1429&lt;&gt;"",$B1429,$O1428))</f>
        <v/>
      </c>
    </row>
    <row r="1430">
      <c r="N1430">
        <f>IF($A1430="","",IF(COUNTIFS($A$2:$A1430,$A1430,$C$2:$C1430,$C1430)=1,1,0))</f>
        <v/>
      </c>
      <c r="O1430">
        <f>IF($A1430="","",IF($B1430&lt;&gt;"",$B1430,$O1429))</f>
        <v/>
      </c>
    </row>
    <row r="1431">
      <c r="N1431">
        <f>IF($A1431="","",IF(COUNTIFS($A$2:$A1431,$A1431,$C$2:$C1431,$C1431)=1,1,0))</f>
        <v/>
      </c>
      <c r="O1431">
        <f>IF($A1431="","",IF($B1431&lt;&gt;"",$B1431,$O1430))</f>
        <v/>
      </c>
    </row>
    <row r="1432">
      <c r="N1432">
        <f>IF($A1432="","",IF(COUNTIFS($A$2:$A1432,$A1432,$C$2:$C1432,$C1432)=1,1,0))</f>
        <v/>
      </c>
      <c r="O1432">
        <f>IF($A1432="","",IF($B1432&lt;&gt;"",$B1432,$O1431))</f>
        <v/>
      </c>
    </row>
    <row r="1433">
      <c r="N1433">
        <f>IF($A1433="","",IF(COUNTIFS($A$2:$A1433,$A1433,$C$2:$C1433,$C1433)=1,1,0))</f>
        <v/>
      </c>
      <c r="O1433">
        <f>IF($A1433="","",IF($B1433&lt;&gt;"",$B1433,$O1432))</f>
        <v/>
      </c>
    </row>
    <row r="1434">
      <c r="N1434">
        <f>IF($A1434="","",IF(COUNTIFS($A$2:$A1434,$A1434,$C$2:$C1434,$C1434)=1,1,0))</f>
        <v/>
      </c>
      <c r="O1434">
        <f>IF($A1434="","",IF($B1434&lt;&gt;"",$B1434,$O1433))</f>
        <v/>
      </c>
    </row>
    <row r="1435">
      <c r="N1435">
        <f>IF($A1435="","",IF(COUNTIFS($A$2:$A1435,$A1435,$C$2:$C1435,$C1435)=1,1,0))</f>
        <v/>
      </c>
      <c r="O1435">
        <f>IF($A1435="","",IF($B1435&lt;&gt;"",$B1435,$O1434))</f>
        <v/>
      </c>
    </row>
    <row r="1436">
      <c r="N1436">
        <f>IF($A1436="","",IF(COUNTIFS($A$2:$A1436,$A1436,$C$2:$C1436,$C1436)=1,1,0))</f>
        <v/>
      </c>
      <c r="O1436">
        <f>IF($A1436="","",IF($B1436&lt;&gt;"",$B1436,$O1435))</f>
        <v/>
      </c>
    </row>
    <row r="1437">
      <c r="N1437">
        <f>IF($A1437="","",IF(COUNTIFS($A$2:$A1437,$A1437,$C$2:$C1437,$C1437)=1,1,0))</f>
        <v/>
      </c>
      <c r="O1437">
        <f>IF($A1437="","",IF($B1437&lt;&gt;"",$B1437,$O1436))</f>
        <v/>
      </c>
    </row>
    <row r="1438">
      <c r="N1438">
        <f>IF($A1438="","",IF(COUNTIFS($A$2:$A1438,$A1438,$C$2:$C1438,$C1438)=1,1,0))</f>
        <v/>
      </c>
      <c r="O1438">
        <f>IF($A1438="","",IF($B1438&lt;&gt;"",$B1438,$O1437))</f>
        <v/>
      </c>
    </row>
    <row r="1439">
      <c r="N1439">
        <f>IF($A1439="","",IF(COUNTIFS($A$2:$A1439,$A1439,$C$2:$C1439,$C1439)=1,1,0))</f>
        <v/>
      </c>
      <c r="O1439">
        <f>IF($A1439="","",IF($B1439&lt;&gt;"",$B1439,$O1438))</f>
        <v/>
      </c>
    </row>
    <row r="1440">
      <c r="N1440">
        <f>IF($A1440="","",IF(COUNTIFS($A$2:$A1440,$A1440,$C$2:$C1440,$C1440)=1,1,0))</f>
        <v/>
      </c>
      <c r="O1440">
        <f>IF($A1440="","",IF($B1440&lt;&gt;"",$B1440,$O1439))</f>
        <v/>
      </c>
    </row>
    <row r="1441">
      <c r="N1441">
        <f>IF($A1441="","",IF(COUNTIFS($A$2:$A1441,$A1441,$C$2:$C1441,$C1441)=1,1,0))</f>
        <v/>
      </c>
      <c r="O1441">
        <f>IF($A1441="","",IF($B1441&lt;&gt;"",$B1441,$O1440))</f>
        <v/>
      </c>
    </row>
    <row r="1442">
      <c r="N1442">
        <f>IF($A1442="","",IF(COUNTIFS($A$2:$A1442,$A1442,$C$2:$C1442,$C1442)=1,1,0))</f>
        <v/>
      </c>
      <c r="O1442">
        <f>IF($A1442="","",IF($B1442&lt;&gt;"",$B1442,$O1441))</f>
        <v/>
      </c>
    </row>
    <row r="1443">
      <c r="N1443">
        <f>IF($A1443="","",IF(COUNTIFS($A$2:$A1443,$A1443,$C$2:$C1443,$C1443)=1,1,0))</f>
        <v/>
      </c>
      <c r="O1443">
        <f>IF($A1443="","",IF($B1443&lt;&gt;"",$B1443,$O1442))</f>
        <v/>
      </c>
    </row>
    <row r="1444">
      <c r="N1444">
        <f>IF($A1444="","",IF(COUNTIFS($A$2:$A1444,$A1444,$C$2:$C1444,$C1444)=1,1,0))</f>
        <v/>
      </c>
      <c r="O1444">
        <f>IF($A1444="","",IF($B1444&lt;&gt;"",$B1444,$O1443))</f>
        <v/>
      </c>
    </row>
    <row r="1445">
      <c r="N1445">
        <f>IF($A1445="","",IF(COUNTIFS($A$2:$A1445,$A1445,$C$2:$C1445,$C1445)=1,1,0))</f>
        <v/>
      </c>
      <c r="O1445">
        <f>IF($A1445="","",IF($B1445&lt;&gt;"",$B1445,$O1444))</f>
        <v/>
      </c>
    </row>
    <row r="1446">
      <c r="N1446">
        <f>IF($A1446="","",IF(COUNTIFS($A$2:$A1446,$A1446,$C$2:$C1446,$C1446)=1,1,0))</f>
        <v/>
      </c>
      <c r="O1446">
        <f>IF($A1446="","",IF($B1446&lt;&gt;"",$B1446,$O1445))</f>
        <v/>
      </c>
    </row>
    <row r="1447">
      <c r="N1447">
        <f>IF($A1447="","",IF(COUNTIFS($A$2:$A1447,$A1447,$C$2:$C1447,$C1447)=1,1,0))</f>
        <v/>
      </c>
      <c r="O1447">
        <f>IF($A1447="","",IF($B1447&lt;&gt;"",$B1447,$O1446))</f>
        <v/>
      </c>
    </row>
    <row r="1448">
      <c r="N1448">
        <f>IF($A1448="","",IF(COUNTIFS($A$2:$A1448,$A1448,$C$2:$C1448,$C1448)=1,1,0))</f>
        <v/>
      </c>
      <c r="O1448">
        <f>IF($A1448="","",IF($B1448&lt;&gt;"",$B1448,$O1447))</f>
        <v/>
      </c>
    </row>
    <row r="1449">
      <c r="N1449">
        <f>IF($A1449="","",IF(COUNTIFS($A$2:$A1449,$A1449,$C$2:$C1449,$C1449)=1,1,0))</f>
        <v/>
      </c>
      <c r="O1449">
        <f>IF($A1449="","",IF($B1449&lt;&gt;"",$B1449,$O1448))</f>
        <v/>
      </c>
    </row>
    <row r="1450">
      <c r="N1450">
        <f>IF($A1450="","",IF(COUNTIFS($A$2:$A1450,$A1450,$C$2:$C1450,$C1450)=1,1,0))</f>
        <v/>
      </c>
      <c r="O1450">
        <f>IF($A1450="","",IF($B1450&lt;&gt;"",$B1450,$O1449))</f>
        <v/>
      </c>
    </row>
    <row r="1451">
      <c r="N1451">
        <f>IF($A1451="","",IF(COUNTIFS($A$2:$A1451,$A1451,$C$2:$C1451,$C1451)=1,1,0))</f>
        <v/>
      </c>
      <c r="O1451">
        <f>IF($A1451="","",IF($B1451&lt;&gt;"",$B1451,$O1450))</f>
        <v/>
      </c>
    </row>
    <row r="1452">
      <c r="N1452">
        <f>IF($A1452="","",IF(COUNTIFS($A$2:$A1452,$A1452,$C$2:$C1452,$C1452)=1,1,0))</f>
        <v/>
      </c>
      <c r="O1452">
        <f>IF($A1452="","",IF($B1452&lt;&gt;"",$B1452,$O1451))</f>
        <v/>
      </c>
    </row>
    <row r="1453">
      <c r="N1453">
        <f>IF($A1453="","",IF(COUNTIFS($A$2:$A1453,$A1453,$C$2:$C1453,$C1453)=1,1,0))</f>
        <v/>
      </c>
      <c r="O1453">
        <f>IF($A1453="","",IF($B1453&lt;&gt;"",$B1453,$O1452))</f>
        <v/>
      </c>
    </row>
    <row r="1454">
      <c r="N1454">
        <f>IF($A1454="","",IF(COUNTIFS($A$2:$A1454,$A1454,$C$2:$C1454,$C1454)=1,1,0))</f>
        <v/>
      </c>
      <c r="O1454">
        <f>IF($A1454="","",IF($B1454&lt;&gt;"",$B1454,$O1453))</f>
        <v/>
      </c>
    </row>
    <row r="1455">
      <c r="N1455">
        <f>IF($A1455="","",IF(COUNTIFS($A$2:$A1455,$A1455,$C$2:$C1455,$C1455)=1,1,0))</f>
        <v/>
      </c>
      <c r="O1455">
        <f>IF($A1455="","",IF($B1455&lt;&gt;"",$B1455,$O1454))</f>
        <v/>
      </c>
    </row>
    <row r="1456">
      <c r="N1456">
        <f>IF($A1456="","",IF(COUNTIFS($A$2:$A1456,$A1456,$C$2:$C1456,$C1456)=1,1,0))</f>
        <v/>
      </c>
      <c r="O1456">
        <f>IF($A1456="","",IF($B1456&lt;&gt;"",$B1456,$O1455))</f>
        <v/>
      </c>
    </row>
    <row r="1457">
      <c r="N1457">
        <f>IF($A1457="","",IF(COUNTIFS($A$2:$A1457,$A1457,$C$2:$C1457,$C1457)=1,1,0))</f>
        <v/>
      </c>
      <c r="O1457">
        <f>IF($A1457="","",IF($B1457&lt;&gt;"",$B1457,$O1456))</f>
        <v/>
      </c>
    </row>
    <row r="1458">
      <c r="N1458">
        <f>IF($A1458="","",IF(COUNTIFS($A$2:$A1458,$A1458,$C$2:$C1458,$C1458)=1,1,0))</f>
        <v/>
      </c>
      <c r="O1458">
        <f>IF($A1458="","",IF($B1458&lt;&gt;"",$B1458,$O1457))</f>
        <v/>
      </c>
    </row>
    <row r="1459">
      <c r="N1459">
        <f>IF($A1459="","",IF(COUNTIFS($A$2:$A1459,$A1459,$C$2:$C1459,$C1459)=1,1,0))</f>
        <v/>
      </c>
      <c r="O1459">
        <f>IF($A1459="","",IF($B1459&lt;&gt;"",$B1459,$O1458))</f>
        <v/>
      </c>
    </row>
    <row r="1460">
      <c r="N1460">
        <f>IF($A1460="","",IF(COUNTIFS($A$2:$A1460,$A1460,$C$2:$C1460,$C1460)=1,1,0))</f>
        <v/>
      </c>
      <c r="O1460">
        <f>IF($A1460="","",IF($B1460&lt;&gt;"",$B1460,$O1459))</f>
        <v/>
      </c>
    </row>
    <row r="1461">
      <c r="N1461">
        <f>IF($A1461="","",IF(COUNTIFS($A$2:$A1461,$A1461,$C$2:$C1461,$C1461)=1,1,0))</f>
        <v/>
      </c>
      <c r="O1461">
        <f>IF($A1461="","",IF($B1461&lt;&gt;"",$B1461,$O1460))</f>
        <v/>
      </c>
    </row>
    <row r="1462">
      <c r="N1462">
        <f>IF($A1462="","",IF(COUNTIFS($A$2:$A1462,$A1462,$C$2:$C1462,$C1462)=1,1,0))</f>
        <v/>
      </c>
      <c r="O1462">
        <f>IF($A1462="","",IF($B1462&lt;&gt;"",$B1462,$O1461))</f>
        <v/>
      </c>
    </row>
    <row r="1463">
      <c r="N1463">
        <f>IF($A1463="","",IF(COUNTIFS($A$2:$A1463,$A1463,$C$2:$C1463,$C1463)=1,1,0))</f>
        <v/>
      </c>
      <c r="O1463">
        <f>IF($A1463="","",IF($B1463&lt;&gt;"",$B1463,$O1462))</f>
        <v/>
      </c>
    </row>
    <row r="1464">
      <c r="N1464">
        <f>IF($A1464="","",IF(COUNTIFS($A$2:$A1464,$A1464,$C$2:$C1464,$C1464)=1,1,0))</f>
        <v/>
      </c>
      <c r="O1464">
        <f>IF($A1464="","",IF($B1464&lt;&gt;"",$B1464,$O1463))</f>
        <v/>
      </c>
    </row>
    <row r="1465">
      <c r="N1465">
        <f>IF($A1465="","",IF(COUNTIFS($A$2:$A1465,$A1465,$C$2:$C1465,$C1465)=1,1,0))</f>
        <v/>
      </c>
      <c r="O1465">
        <f>IF($A1465="","",IF($B1465&lt;&gt;"",$B1465,$O1464))</f>
        <v/>
      </c>
    </row>
    <row r="1466">
      <c r="N1466">
        <f>IF($A1466="","",IF(COUNTIFS($A$2:$A1466,$A1466,$C$2:$C1466,$C1466)=1,1,0))</f>
        <v/>
      </c>
      <c r="O1466">
        <f>IF($A1466="","",IF($B1466&lt;&gt;"",$B1466,$O1465))</f>
        <v/>
      </c>
    </row>
    <row r="1467">
      <c r="N1467">
        <f>IF($A1467="","",IF(COUNTIFS($A$2:$A1467,$A1467,$C$2:$C1467,$C1467)=1,1,0))</f>
        <v/>
      </c>
      <c r="O1467">
        <f>IF($A1467="","",IF($B1467&lt;&gt;"",$B1467,$O1466))</f>
        <v/>
      </c>
    </row>
    <row r="1468">
      <c r="N1468">
        <f>IF($A1468="","",IF(COUNTIFS($A$2:$A1468,$A1468,$C$2:$C1468,$C1468)=1,1,0))</f>
        <v/>
      </c>
      <c r="O1468">
        <f>IF($A1468="","",IF($B1468&lt;&gt;"",$B1468,$O1467))</f>
        <v/>
      </c>
    </row>
    <row r="1469">
      <c r="N1469">
        <f>IF($A1469="","",IF(COUNTIFS($A$2:$A1469,$A1469,$C$2:$C1469,$C1469)=1,1,0))</f>
        <v/>
      </c>
      <c r="O1469">
        <f>IF($A1469="","",IF($B1469&lt;&gt;"",$B1469,$O1468))</f>
        <v/>
      </c>
    </row>
    <row r="1470">
      <c r="N1470">
        <f>IF($A1470="","",IF(COUNTIFS($A$2:$A1470,$A1470,$C$2:$C1470,$C1470)=1,1,0))</f>
        <v/>
      </c>
      <c r="O1470">
        <f>IF($A1470="","",IF($B1470&lt;&gt;"",$B1470,$O1469))</f>
        <v/>
      </c>
    </row>
    <row r="1471">
      <c r="N1471">
        <f>IF($A1471="","",IF(COUNTIFS($A$2:$A1471,$A1471,$C$2:$C1471,$C1471)=1,1,0))</f>
        <v/>
      </c>
      <c r="O1471">
        <f>IF($A1471="","",IF($B1471&lt;&gt;"",$B1471,$O1470))</f>
        <v/>
      </c>
    </row>
    <row r="1472">
      <c r="N1472">
        <f>IF($A1472="","",IF(COUNTIFS($A$2:$A1472,$A1472,$C$2:$C1472,$C1472)=1,1,0))</f>
        <v/>
      </c>
      <c r="O1472">
        <f>IF($A1472="","",IF($B1472&lt;&gt;"",$B1472,$O1471))</f>
        <v/>
      </c>
    </row>
    <row r="1473">
      <c r="N1473">
        <f>IF($A1473="","",IF(COUNTIFS($A$2:$A1473,$A1473,$C$2:$C1473,$C1473)=1,1,0))</f>
        <v/>
      </c>
      <c r="O1473">
        <f>IF($A1473="","",IF($B1473&lt;&gt;"",$B1473,$O1472))</f>
        <v/>
      </c>
    </row>
    <row r="1474">
      <c r="N1474">
        <f>IF($A1474="","",IF(COUNTIFS($A$2:$A1474,$A1474,$C$2:$C1474,$C1474)=1,1,0))</f>
        <v/>
      </c>
      <c r="O1474">
        <f>IF($A1474="","",IF($B1474&lt;&gt;"",$B1474,$O1473))</f>
        <v/>
      </c>
    </row>
    <row r="1475">
      <c r="N1475">
        <f>IF($A1475="","",IF(COUNTIFS($A$2:$A1475,$A1475,$C$2:$C1475,$C1475)=1,1,0))</f>
        <v/>
      </c>
      <c r="O1475">
        <f>IF($A1475="","",IF($B1475&lt;&gt;"",$B1475,$O1474))</f>
        <v/>
      </c>
    </row>
    <row r="1476">
      <c r="N1476">
        <f>IF($A1476="","",IF(COUNTIFS($A$2:$A1476,$A1476,$C$2:$C1476,$C1476)=1,1,0))</f>
        <v/>
      </c>
      <c r="O1476">
        <f>IF($A1476="","",IF($B1476&lt;&gt;"",$B1476,$O1475))</f>
        <v/>
      </c>
    </row>
    <row r="1477">
      <c r="N1477">
        <f>IF($A1477="","",IF(COUNTIFS($A$2:$A1477,$A1477,$C$2:$C1477,$C1477)=1,1,0))</f>
        <v/>
      </c>
      <c r="O1477">
        <f>IF($A1477="","",IF($B1477&lt;&gt;"",$B1477,$O1476))</f>
        <v/>
      </c>
    </row>
    <row r="1478">
      <c r="N1478">
        <f>IF($A1478="","",IF(COUNTIFS($A$2:$A1478,$A1478,$C$2:$C1478,$C1478)=1,1,0))</f>
        <v/>
      </c>
      <c r="O1478">
        <f>IF($A1478="","",IF($B1478&lt;&gt;"",$B1478,$O1477))</f>
        <v/>
      </c>
    </row>
    <row r="1479">
      <c r="N1479">
        <f>IF($A1479="","",IF(COUNTIFS($A$2:$A1479,$A1479,$C$2:$C1479,$C1479)=1,1,0))</f>
        <v/>
      </c>
      <c r="O1479">
        <f>IF($A1479="","",IF($B1479&lt;&gt;"",$B1479,$O1478))</f>
        <v/>
      </c>
    </row>
    <row r="1480">
      <c r="N1480">
        <f>IF($A1480="","",IF(COUNTIFS($A$2:$A1480,$A1480,$C$2:$C1480,$C1480)=1,1,0))</f>
        <v/>
      </c>
      <c r="O1480">
        <f>IF($A1480="","",IF($B1480&lt;&gt;"",$B1480,$O1479))</f>
        <v/>
      </c>
    </row>
    <row r="1481">
      <c r="N1481">
        <f>IF($A1481="","",IF(COUNTIFS($A$2:$A1481,$A1481,$C$2:$C1481,$C1481)=1,1,0))</f>
        <v/>
      </c>
      <c r="O1481">
        <f>IF($A1481="","",IF($B1481&lt;&gt;"",$B1481,$O1480))</f>
        <v/>
      </c>
    </row>
    <row r="1482">
      <c r="N1482">
        <f>IF($A1482="","",IF(COUNTIFS($A$2:$A1482,$A1482,$C$2:$C1482,$C1482)=1,1,0))</f>
        <v/>
      </c>
      <c r="O1482">
        <f>IF($A1482="","",IF($B1482&lt;&gt;"",$B1482,$O1481))</f>
        <v/>
      </c>
    </row>
    <row r="1483">
      <c r="N1483">
        <f>IF($A1483="","",IF(COUNTIFS($A$2:$A1483,$A1483,$C$2:$C1483,$C1483)=1,1,0))</f>
        <v/>
      </c>
      <c r="O1483">
        <f>IF($A1483="","",IF($B1483&lt;&gt;"",$B1483,$O1482))</f>
        <v/>
      </c>
    </row>
    <row r="1484">
      <c r="N1484">
        <f>IF($A1484="","",IF(COUNTIFS($A$2:$A1484,$A1484,$C$2:$C1484,$C1484)=1,1,0))</f>
        <v/>
      </c>
      <c r="O1484">
        <f>IF($A1484="","",IF($B1484&lt;&gt;"",$B1484,$O1483))</f>
        <v/>
      </c>
    </row>
    <row r="1485">
      <c r="N1485">
        <f>IF($A1485="","",IF(COUNTIFS($A$2:$A1485,$A1485,$C$2:$C1485,$C1485)=1,1,0))</f>
        <v/>
      </c>
      <c r="O1485">
        <f>IF($A1485="","",IF($B1485&lt;&gt;"",$B1485,$O1484))</f>
        <v/>
      </c>
    </row>
    <row r="1486">
      <c r="N1486">
        <f>IF($A1486="","",IF(COUNTIFS($A$2:$A1486,$A1486,$C$2:$C1486,$C1486)=1,1,0))</f>
        <v/>
      </c>
      <c r="O1486">
        <f>IF($A1486="","",IF($B1486&lt;&gt;"",$B1486,$O1485))</f>
        <v/>
      </c>
    </row>
    <row r="1487">
      <c r="N1487">
        <f>IF($A1487="","",IF(COUNTIFS($A$2:$A1487,$A1487,$C$2:$C1487,$C1487)=1,1,0))</f>
        <v/>
      </c>
      <c r="O1487">
        <f>IF($A1487="","",IF($B1487&lt;&gt;"",$B1487,$O1486))</f>
        <v/>
      </c>
    </row>
    <row r="1488">
      <c r="N1488">
        <f>IF($A1488="","",IF(COUNTIFS($A$2:$A1488,$A1488,$C$2:$C1488,$C1488)=1,1,0))</f>
        <v/>
      </c>
      <c r="O1488">
        <f>IF($A1488="","",IF($B1488&lt;&gt;"",$B1488,$O1487))</f>
        <v/>
      </c>
    </row>
    <row r="1489">
      <c r="N1489">
        <f>IF($A1489="","",IF(COUNTIFS($A$2:$A1489,$A1489,$C$2:$C1489,$C1489)=1,1,0))</f>
        <v/>
      </c>
      <c r="O1489">
        <f>IF($A1489="","",IF($B1489&lt;&gt;"",$B1489,$O1488))</f>
        <v/>
      </c>
    </row>
    <row r="1490">
      <c r="N1490">
        <f>IF($A1490="","",IF(COUNTIFS($A$2:$A1490,$A1490,$C$2:$C1490,$C1490)=1,1,0))</f>
        <v/>
      </c>
      <c r="O1490">
        <f>IF($A1490="","",IF($B1490&lt;&gt;"",$B1490,$O1489))</f>
        <v/>
      </c>
    </row>
    <row r="1491">
      <c r="N1491">
        <f>IF($A1491="","",IF(COUNTIFS($A$2:$A1491,$A1491,$C$2:$C1491,$C1491)=1,1,0))</f>
        <v/>
      </c>
      <c r="O1491">
        <f>IF($A1491="","",IF($B1491&lt;&gt;"",$B1491,$O1490))</f>
        <v/>
      </c>
    </row>
    <row r="1492">
      <c r="N1492">
        <f>IF($A1492="","",IF(COUNTIFS($A$2:$A1492,$A1492,$C$2:$C1492,$C1492)=1,1,0))</f>
        <v/>
      </c>
      <c r="O1492">
        <f>IF($A1492="","",IF($B1492&lt;&gt;"",$B1492,$O1491))</f>
        <v/>
      </c>
    </row>
    <row r="1493">
      <c r="N1493">
        <f>IF($A1493="","",IF(COUNTIFS($A$2:$A1493,$A1493,$C$2:$C1493,$C1493)=1,1,0))</f>
        <v/>
      </c>
      <c r="O1493">
        <f>IF($A1493="","",IF($B1493&lt;&gt;"",$B1493,$O1492))</f>
        <v/>
      </c>
    </row>
    <row r="1494">
      <c r="N1494">
        <f>IF($A1494="","",IF(COUNTIFS($A$2:$A1494,$A1494,$C$2:$C1494,$C1494)=1,1,0))</f>
        <v/>
      </c>
      <c r="O1494">
        <f>IF($A1494="","",IF($B1494&lt;&gt;"",$B1494,$O1493))</f>
        <v/>
      </c>
    </row>
    <row r="1495">
      <c r="N1495">
        <f>IF($A1495="","",IF(COUNTIFS($A$2:$A1495,$A1495,$C$2:$C1495,$C1495)=1,1,0))</f>
        <v/>
      </c>
      <c r="O1495">
        <f>IF($A1495="","",IF($B1495&lt;&gt;"",$B1495,$O1494))</f>
        <v/>
      </c>
    </row>
    <row r="1496">
      <c r="N1496">
        <f>IF($A1496="","",IF(COUNTIFS($A$2:$A1496,$A1496,$C$2:$C1496,$C1496)=1,1,0))</f>
        <v/>
      </c>
      <c r="O1496">
        <f>IF($A1496="","",IF($B1496&lt;&gt;"",$B1496,$O1495))</f>
        <v/>
      </c>
    </row>
    <row r="1497">
      <c r="N1497">
        <f>IF($A1497="","",IF(COUNTIFS($A$2:$A1497,$A1497,$C$2:$C1497,$C1497)=1,1,0))</f>
        <v/>
      </c>
      <c r="O1497">
        <f>IF($A1497="","",IF($B1497&lt;&gt;"",$B1497,$O1496))</f>
        <v/>
      </c>
    </row>
    <row r="1498">
      <c r="N1498">
        <f>IF($A1498="","",IF(COUNTIFS($A$2:$A1498,$A1498,$C$2:$C1498,$C1498)=1,1,0))</f>
        <v/>
      </c>
      <c r="O1498">
        <f>IF($A1498="","",IF($B1498&lt;&gt;"",$B1498,$O1497))</f>
        <v/>
      </c>
    </row>
    <row r="1499">
      <c r="N1499">
        <f>IF($A1499="","",IF(COUNTIFS($A$2:$A1499,$A1499,$C$2:$C1499,$C1499)=1,1,0))</f>
        <v/>
      </c>
      <c r="O1499">
        <f>IF($A1499="","",IF($B1499&lt;&gt;"",$B1499,$O1498))</f>
        <v/>
      </c>
    </row>
    <row r="1500">
      <c r="N1500">
        <f>IF($A1500="","",IF(COUNTIFS($A$2:$A1500,$A1500,$C$2:$C1500,$C1500)=1,1,0))</f>
        <v/>
      </c>
      <c r="O1500">
        <f>IF($A1500="","",IF($B1500&lt;&gt;"",$B1500,$O1499))</f>
        <v/>
      </c>
    </row>
    <row r="1501">
      <c r="N1501">
        <f>IF($A1501="","",IF(COUNTIFS($A$2:$A1501,$A1501,$C$2:$C1501,$C1501)=1,1,0))</f>
        <v/>
      </c>
      <c r="O1501">
        <f>IF($A1501="","",IF($B1501&lt;&gt;"",$B1501,$O1500))</f>
        <v/>
      </c>
    </row>
    <row r="1502">
      <c r="N1502">
        <f>IF($A1502="","",IF(COUNTIFS($A$2:$A1502,$A1502,$C$2:$C1502,$C1502)=1,1,0))</f>
        <v/>
      </c>
      <c r="O1502">
        <f>IF($A1502="","",IF($B1502&lt;&gt;"",$B1502,$O1501))</f>
        <v/>
      </c>
    </row>
    <row r="1503">
      <c r="N1503">
        <f>IF($A1503="","",IF(COUNTIFS($A$2:$A1503,$A1503,$C$2:$C1503,$C1503)=1,1,0))</f>
        <v/>
      </c>
      <c r="O1503">
        <f>IF($A1503="","",IF($B1503&lt;&gt;"",$B1503,$O1502))</f>
        <v/>
      </c>
    </row>
    <row r="1504">
      <c r="N1504">
        <f>IF($A1504="","",IF(COUNTIFS($A$2:$A1504,$A1504,$C$2:$C1504,$C1504)=1,1,0))</f>
        <v/>
      </c>
      <c r="O1504">
        <f>IF($A1504="","",IF($B1504&lt;&gt;"",$B1504,$O1503))</f>
        <v/>
      </c>
    </row>
    <row r="1505">
      <c r="N1505">
        <f>IF($A1505="","",IF(COUNTIFS($A$2:$A1505,$A1505,$C$2:$C1505,$C1505)=1,1,0))</f>
        <v/>
      </c>
      <c r="O1505">
        <f>IF($A1505="","",IF($B1505&lt;&gt;"",$B1505,$O1504))</f>
        <v/>
      </c>
    </row>
    <row r="1506">
      <c r="N1506">
        <f>IF($A1506="","",IF(COUNTIFS($A$2:$A1506,$A1506,$C$2:$C1506,$C1506)=1,1,0))</f>
        <v/>
      </c>
      <c r="O1506">
        <f>IF($A1506="","",IF($B1506&lt;&gt;"",$B1506,$O1505))</f>
        <v/>
      </c>
    </row>
    <row r="1507">
      <c r="N1507">
        <f>IF($A1507="","",IF(COUNTIFS($A$2:$A1507,$A1507,$C$2:$C1507,$C1507)=1,1,0))</f>
        <v/>
      </c>
      <c r="O1507">
        <f>IF($A1507="","",IF($B1507&lt;&gt;"",$B1507,$O1506))</f>
        <v/>
      </c>
    </row>
    <row r="1508">
      <c r="N1508">
        <f>IF($A1508="","",IF(COUNTIFS($A$2:$A1508,$A1508,$C$2:$C1508,$C1508)=1,1,0))</f>
        <v/>
      </c>
      <c r="O1508">
        <f>IF($A1508="","",IF($B1508&lt;&gt;"",$B1508,$O1507))</f>
        <v/>
      </c>
    </row>
    <row r="1509">
      <c r="N1509">
        <f>IF($A1509="","",IF(COUNTIFS($A$2:$A1509,$A1509,$C$2:$C1509,$C1509)=1,1,0))</f>
        <v/>
      </c>
      <c r="O1509">
        <f>IF($A1509="","",IF($B1509&lt;&gt;"",$B1509,$O1508))</f>
        <v/>
      </c>
    </row>
    <row r="1510">
      <c r="N1510">
        <f>IF($A1510="","",IF(COUNTIFS($A$2:$A1510,$A1510,$C$2:$C1510,$C1510)=1,1,0))</f>
        <v/>
      </c>
      <c r="O1510">
        <f>IF($A1510="","",IF($B1510&lt;&gt;"",$B1510,$O1509))</f>
        <v/>
      </c>
    </row>
    <row r="1511">
      <c r="N1511">
        <f>IF($A1511="","",IF(COUNTIFS($A$2:$A1511,$A1511,$C$2:$C1511,$C1511)=1,1,0))</f>
        <v/>
      </c>
      <c r="O1511">
        <f>IF($A1511="","",IF($B1511&lt;&gt;"",$B1511,$O1510))</f>
        <v/>
      </c>
    </row>
    <row r="1512">
      <c r="N1512">
        <f>IF($A1512="","",IF(COUNTIFS($A$2:$A1512,$A1512,$C$2:$C1512,$C1512)=1,1,0))</f>
        <v/>
      </c>
      <c r="O1512">
        <f>IF($A1512="","",IF($B1512&lt;&gt;"",$B1512,$O1511))</f>
        <v/>
      </c>
    </row>
    <row r="1513">
      <c r="N1513">
        <f>IF($A1513="","",IF(COUNTIFS($A$2:$A1513,$A1513,$C$2:$C1513,$C1513)=1,1,0))</f>
        <v/>
      </c>
      <c r="O1513">
        <f>IF($A1513="","",IF($B1513&lt;&gt;"",$B1513,$O1512))</f>
        <v/>
      </c>
    </row>
    <row r="1514">
      <c r="N1514">
        <f>IF($A1514="","",IF(COUNTIFS($A$2:$A1514,$A1514,$C$2:$C1514,$C1514)=1,1,0))</f>
        <v/>
      </c>
      <c r="O1514">
        <f>IF($A1514="","",IF($B1514&lt;&gt;"",$B1514,$O1513))</f>
        <v/>
      </c>
    </row>
    <row r="1515">
      <c r="N1515">
        <f>IF($A1515="","",IF(COUNTIFS($A$2:$A1515,$A1515,$C$2:$C1515,$C1515)=1,1,0))</f>
        <v/>
      </c>
      <c r="O1515">
        <f>IF($A1515="","",IF($B1515&lt;&gt;"",$B1515,$O1514))</f>
        <v/>
      </c>
    </row>
    <row r="1516">
      <c r="N1516">
        <f>IF($A1516="","",IF(COUNTIFS($A$2:$A1516,$A1516,$C$2:$C1516,$C1516)=1,1,0))</f>
        <v/>
      </c>
      <c r="O1516">
        <f>IF($A1516="","",IF($B1516&lt;&gt;"",$B1516,$O1515))</f>
        <v/>
      </c>
    </row>
    <row r="1517">
      <c r="N1517">
        <f>IF($A1517="","",IF(COUNTIFS($A$2:$A1517,$A1517,$C$2:$C1517,$C1517)=1,1,0))</f>
        <v/>
      </c>
      <c r="O1517">
        <f>IF($A1517="","",IF($B1517&lt;&gt;"",$B1517,$O1516))</f>
        <v/>
      </c>
    </row>
    <row r="1518">
      <c r="N1518">
        <f>IF($A1518="","",IF(COUNTIFS($A$2:$A1518,$A1518,$C$2:$C1518,$C1518)=1,1,0))</f>
        <v/>
      </c>
      <c r="O1518">
        <f>IF($A1518="","",IF($B1518&lt;&gt;"",$B1518,$O1517))</f>
        <v/>
      </c>
    </row>
    <row r="1519">
      <c r="N1519">
        <f>IF($A1519="","",IF(COUNTIFS($A$2:$A1519,$A1519,$C$2:$C1519,$C1519)=1,1,0))</f>
        <v/>
      </c>
      <c r="O1519">
        <f>IF($A1519="","",IF($B1519&lt;&gt;"",$B1519,$O1518))</f>
        <v/>
      </c>
    </row>
    <row r="1520">
      <c r="N1520">
        <f>IF($A1520="","",IF(COUNTIFS($A$2:$A1520,$A1520,$C$2:$C1520,$C1520)=1,1,0))</f>
        <v/>
      </c>
      <c r="O1520">
        <f>IF($A1520="","",IF($B1520&lt;&gt;"",$B1520,$O1519))</f>
        <v/>
      </c>
    </row>
    <row r="1521">
      <c r="N1521">
        <f>IF($A1521="","",IF(COUNTIFS($A$2:$A1521,$A1521,$C$2:$C1521,$C1521)=1,1,0))</f>
        <v/>
      </c>
      <c r="O1521">
        <f>IF($A1521="","",IF($B1521&lt;&gt;"",$B1521,$O1520))</f>
        <v/>
      </c>
    </row>
    <row r="1522">
      <c r="N1522">
        <f>IF($A1522="","",IF(COUNTIFS($A$2:$A1522,$A1522,$C$2:$C1522,$C1522)=1,1,0))</f>
        <v/>
      </c>
      <c r="O1522">
        <f>IF($A1522="","",IF($B1522&lt;&gt;"",$B1522,$O1521))</f>
        <v/>
      </c>
    </row>
    <row r="1523">
      <c r="N1523">
        <f>IF($A1523="","",IF(COUNTIFS($A$2:$A1523,$A1523,$C$2:$C1523,$C1523)=1,1,0))</f>
        <v/>
      </c>
      <c r="O1523">
        <f>IF($A1523="","",IF($B1523&lt;&gt;"",$B1523,$O1522))</f>
        <v/>
      </c>
    </row>
    <row r="1524">
      <c r="N1524">
        <f>IF($A1524="","",IF(COUNTIFS($A$2:$A1524,$A1524,$C$2:$C1524,$C1524)=1,1,0))</f>
        <v/>
      </c>
      <c r="O1524">
        <f>IF($A1524="","",IF($B1524&lt;&gt;"",$B1524,$O1523))</f>
        <v/>
      </c>
    </row>
    <row r="1525">
      <c r="N1525">
        <f>IF($A1525="","",IF(COUNTIFS($A$2:$A1525,$A1525,$C$2:$C1525,$C1525)=1,1,0))</f>
        <v/>
      </c>
      <c r="O1525">
        <f>IF($A1525="","",IF($B1525&lt;&gt;"",$B1525,$O1524))</f>
        <v/>
      </c>
    </row>
    <row r="1526">
      <c r="N1526">
        <f>IF($A1526="","",IF(COUNTIFS($A$2:$A1526,$A1526,$C$2:$C1526,$C1526)=1,1,0))</f>
        <v/>
      </c>
      <c r="O1526">
        <f>IF($A1526="","",IF($B1526&lt;&gt;"",$B1526,$O1525))</f>
        <v/>
      </c>
    </row>
    <row r="1527">
      <c r="N1527">
        <f>IF($A1527="","",IF(COUNTIFS($A$2:$A1527,$A1527,$C$2:$C1527,$C1527)=1,1,0))</f>
        <v/>
      </c>
      <c r="O1527">
        <f>IF($A1527="","",IF($B1527&lt;&gt;"",$B1527,$O1526))</f>
        <v/>
      </c>
    </row>
    <row r="1528">
      <c r="N1528">
        <f>IF($A1528="","",IF(COUNTIFS($A$2:$A1528,$A1528,$C$2:$C1528,$C1528)=1,1,0))</f>
        <v/>
      </c>
      <c r="O1528">
        <f>IF($A1528="","",IF($B1528&lt;&gt;"",$B1528,$O1527))</f>
        <v/>
      </c>
    </row>
    <row r="1529">
      <c r="N1529">
        <f>IF($A1529="","",IF(COUNTIFS($A$2:$A1529,$A1529,$C$2:$C1529,$C1529)=1,1,0))</f>
        <v/>
      </c>
      <c r="O1529">
        <f>IF($A1529="","",IF($B1529&lt;&gt;"",$B1529,$O1528))</f>
        <v/>
      </c>
    </row>
    <row r="1530">
      <c r="N1530">
        <f>IF($A1530="","",IF(COUNTIFS($A$2:$A1530,$A1530,$C$2:$C1530,$C1530)=1,1,0))</f>
        <v/>
      </c>
      <c r="O1530">
        <f>IF($A1530="","",IF($B1530&lt;&gt;"",$B1530,$O1529))</f>
        <v/>
      </c>
    </row>
    <row r="1531">
      <c r="N1531">
        <f>IF($A1531="","",IF(COUNTIFS($A$2:$A1531,$A1531,$C$2:$C1531,$C1531)=1,1,0))</f>
        <v/>
      </c>
      <c r="O1531">
        <f>IF($A1531="","",IF($B1531&lt;&gt;"",$B1531,$O1530))</f>
        <v/>
      </c>
    </row>
    <row r="1532">
      <c r="N1532">
        <f>IF($A1532="","",IF(COUNTIFS($A$2:$A1532,$A1532,$C$2:$C1532,$C1532)=1,1,0))</f>
        <v/>
      </c>
      <c r="O1532">
        <f>IF($A1532="","",IF($B1532&lt;&gt;"",$B1532,$O1531))</f>
        <v/>
      </c>
    </row>
    <row r="1533">
      <c r="N1533">
        <f>IF($A1533="","",IF(COUNTIFS($A$2:$A1533,$A1533,$C$2:$C1533,$C1533)=1,1,0))</f>
        <v/>
      </c>
      <c r="O1533">
        <f>IF($A1533="","",IF($B1533&lt;&gt;"",$B1533,$O1532))</f>
        <v/>
      </c>
    </row>
    <row r="1534">
      <c r="N1534">
        <f>IF($A1534="","",IF(COUNTIFS($A$2:$A1534,$A1534,$C$2:$C1534,$C1534)=1,1,0))</f>
        <v/>
      </c>
      <c r="O1534">
        <f>IF($A1534="","",IF($B1534&lt;&gt;"",$B1534,$O1533))</f>
        <v/>
      </c>
    </row>
    <row r="1535">
      <c r="N1535">
        <f>IF($A1535="","",IF(COUNTIFS($A$2:$A1535,$A1535,$C$2:$C1535,$C1535)=1,1,0))</f>
        <v/>
      </c>
      <c r="O1535">
        <f>IF($A1535="","",IF($B1535&lt;&gt;"",$B1535,$O1534))</f>
        <v/>
      </c>
    </row>
    <row r="1536">
      <c r="N1536">
        <f>IF($A1536="","",IF(COUNTIFS($A$2:$A1536,$A1536,$C$2:$C1536,$C1536)=1,1,0))</f>
        <v/>
      </c>
      <c r="O1536">
        <f>IF($A1536="","",IF($B1536&lt;&gt;"",$B1536,$O1535))</f>
        <v/>
      </c>
    </row>
    <row r="1537">
      <c r="N1537">
        <f>IF($A1537="","",IF(COUNTIFS($A$2:$A1537,$A1537,$C$2:$C1537,$C1537)=1,1,0))</f>
        <v/>
      </c>
      <c r="O1537">
        <f>IF($A1537="","",IF($B1537&lt;&gt;"",$B1537,$O1536))</f>
        <v/>
      </c>
    </row>
    <row r="1538">
      <c r="N1538">
        <f>IF($A1538="","",IF(COUNTIFS($A$2:$A1538,$A1538,$C$2:$C1538,$C1538)=1,1,0))</f>
        <v/>
      </c>
      <c r="O1538">
        <f>IF($A1538="","",IF($B1538&lt;&gt;"",$B1538,$O1537))</f>
        <v/>
      </c>
    </row>
    <row r="1539">
      <c r="N1539">
        <f>IF($A1539="","",IF(COUNTIFS($A$2:$A1539,$A1539,$C$2:$C1539,$C1539)=1,1,0))</f>
        <v/>
      </c>
      <c r="O1539">
        <f>IF($A1539="","",IF($B1539&lt;&gt;"",$B1539,$O1538))</f>
        <v/>
      </c>
    </row>
    <row r="1540">
      <c r="N1540">
        <f>IF($A1540="","",IF(COUNTIFS($A$2:$A1540,$A1540,$C$2:$C1540,$C1540)=1,1,0))</f>
        <v/>
      </c>
      <c r="O1540">
        <f>IF($A1540="","",IF($B1540&lt;&gt;"",$B1540,$O1539))</f>
        <v/>
      </c>
    </row>
    <row r="1541">
      <c r="N1541">
        <f>IF($A1541="","",IF(COUNTIFS($A$2:$A1541,$A1541,$C$2:$C1541,$C1541)=1,1,0))</f>
        <v/>
      </c>
      <c r="O1541">
        <f>IF($A1541="","",IF($B1541&lt;&gt;"",$B1541,$O1540))</f>
        <v/>
      </c>
    </row>
    <row r="1542">
      <c r="N1542">
        <f>IF($A1542="","",IF(COUNTIFS($A$2:$A1542,$A1542,$C$2:$C1542,$C1542)=1,1,0))</f>
        <v/>
      </c>
      <c r="O1542">
        <f>IF($A1542="","",IF($B1542&lt;&gt;"",$B1542,$O1541))</f>
        <v/>
      </c>
    </row>
    <row r="1543">
      <c r="N1543">
        <f>IF($A1543="","",IF(COUNTIFS($A$2:$A1543,$A1543,$C$2:$C1543,$C1543)=1,1,0))</f>
        <v/>
      </c>
      <c r="O1543">
        <f>IF($A1543="","",IF($B1543&lt;&gt;"",$B1543,$O1542))</f>
        <v/>
      </c>
    </row>
    <row r="1544">
      <c r="N1544">
        <f>IF($A1544="","",IF(COUNTIFS($A$2:$A1544,$A1544,$C$2:$C1544,$C1544)=1,1,0))</f>
        <v/>
      </c>
      <c r="O1544">
        <f>IF($A1544="","",IF($B1544&lt;&gt;"",$B1544,$O1543))</f>
        <v/>
      </c>
    </row>
    <row r="1545">
      <c r="N1545">
        <f>IF($A1545="","",IF(COUNTIFS($A$2:$A1545,$A1545,$C$2:$C1545,$C1545)=1,1,0))</f>
        <v/>
      </c>
      <c r="O1545">
        <f>IF($A1545="","",IF($B1545&lt;&gt;"",$B1545,$O1544))</f>
        <v/>
      </c>
    </row>
    <row r="1546">
      <c r="N1546">
        <f>IF($A1546="","",IF(COUNTIFS($A$2:$A1546,$A1546,$C$2:$C1546,$C1546)=1,1,0))</f>
        <v/>
      </c>
      <c r="O1546">
        <f>IF($A1546="","",IF($B1546&lt;&gt;"",$B1546,$O1545))</f>
        <v/>
      </c>
    </row>
    <row r="1547">
      <c r="N1547">
        <f>IF($A1547="","",IF(COUNTIFS($A$2:$A1547,$A1547,$C$2:$C1547,$C1547)=1,1,0))</f>
        <v/>
      </c>
      <c r="O1547">
        <f>IF($A1547="","",IF($B1547&lt;&gt;"",$B1547,$O1546))</f>
        <v/>
      </c>
    </row>
    <row r="1548">
      <c r="N1548">
        <f>IF($A1548="","",IF(COUNTIFS($A$2:$A1548,$A1548,$C$2:$C1548,$C1548)=1,1,0))</f>
        <v/>
      </c>
      <c r="O1548">
        <f>IF($A1548="","",IF($B1548&lt;&gt;"",$B1548,$O1547))</f>
        <v/>
      </c>
    </row>
    <row r="1549">
      <c r="N1549">
        <f>IF($A1549="","",IF(COUNTIFS($A$2:$A1549,$A1549,$C$2:$C1549,$C1549)=1,1,0))</f>
        <v/>
      </c>
      <c r="O1549">
        <f>IF($A1549="","",IF($B1549&lt;&gt;"",$B1549,$O1548))</f>
        <v/>
      </c>
    </row>
    <row r="1550">
      <c r="N1550">
        <f>IF($A1550="","",IF(COUNTIFS($A$2:$A1550,$A1550,$C$2:$C1550,$C1550)=1,1,0))</f>
        <v/>
      </c>
      <c r="O1550">
        <f>IF($A1550="","",IF($B1550&lt;&gt;"",$B1550,$O1549))</f>
        <v/>
      </c>
    </row>
    <row r="1551">
      <c r="N1551">
        <f>IF($A1551="","",IF(COUNTIFS($A$2:$A1551,$A1551,$C$2:$C1551,$C1551)=1,1,0))</f>
        <v/>
      </c>
      <c r="O1551">
        <f>IF($A1551="","",IF($B1551&lt;&gt;"",$B1551,$O1550))</f>
        <v/>
      </c>
    </row>
    <row r="1552">
      <c r="N1552">
        <f>IF($A1552="","",IF(COUNTIFS($A$2:$A1552,$A1552,$C$2:$C1552,$C1552)=1,1,0))</f>
        <v/>
      </c>
      <c r="O1552">
        <f>IF($A1552="","",IF($B1552&lt;&gt;"",$B1552,$O1551))</f>
        <v/>
      </c>
    </row>
    <row r="1553">
      <c r="N1553">
        <f>IF($A1553="","",IF(COUNTIFS($A$2:$A1553,$A1553,$C$2:$C1553,$C1553)=1,1,0))</f>
        <v/>
      </c>
      <c r="O1553">
        <f>IF($A1553="","",IF($B1553&lt;&gt;"",$B1553,$O1552))</f>
        <v/>
      </c>
    </row>
    <row r="1554">
      <c r="N1554">
        <f>IF($A1554="","",IF(COUNTIFS($A$2:$A1554,$A1554,$C$2:$C1554,$C1554)=1,1,0))</f>
        <v/>
      </c>
      <c r="O1554">
        <f>IF($A1554="","",IF($B1554&lt;&gt;"",$B1554,$O1553))</f>
        <v/>
      </c>
    </row>
    <row r="1555">
      <c r="N1555">
        <f>IF($A1555="","",IF(COUNTIFS($A$2:$A1555,$A1555,$C$2:$C1555,$C1555)=1,1,0))</f>
        <v/>
      </c>
      <c r="O1555">
        <f>IF($A1555="","",IF($B1555&lt;&gt;"",$B1555,$O1554))</f>
        <v/>
      </c>
    </row>
    <row r="1556">
      <c r="N1556">
        <f>IF($A1556="","",IF(COUNTIFS($A$2:$A1556,$A1556,$C$2:$C1556,$C1556)=1,1,0))</f>
        <v/>
      </c>
      <c r="O1556">
        <f>IF($A1556="","",IF($B1556&lt;&gt;"",$B1556,$O1555))</f>
        <v/>
      </c>
    </row>
    <row r="1557">
      <c r="N1557">
        <f>IF($A1557="","",IF(COUNTIFS($A$2:$A1557,$A1557,$C$2:$C1557,$C1557)=1,1,0))</f>
        <v/>
      </c>
      <c r="O1557">
        <f>IF($A1557="","",IF($B1557&lt;&gt;"",$B1557,$O1556))</f>
        <v/>
      </c>
    </row>
    <row r="1558">
      <c r="N1558">
        <f>IF($A1558="","",IF(COUNTIFS($A$2:$A1558,$A1558,$C$2:$C1558,$C1558)=1,1,0))</f>
        <v/>
      </c>
      <c r="O1558">
        <f>IF($A1558="","",IF($B1558&lt;&gt;"",$B1558,$O1557))</f>
        <v/>
      </c>
    </row>
    <row r="1559">
      <c r="N1559">
        <f>IF($A1559="","",IF(COUNTIFS($A$2:$A1559,$A1559,$C$2:$C1559,$C1559)=1,1,0))</f>
        <v/>
      </c>
      <c r="O1559">
        <f>IF($A1559="","",IF($B1559&lt;&gt;"",$B1559,$O1558))</f>
        <v/>
      </c>
    </row>
    <row r="1560">
      <c r="N1560">
        <f>IF($A1560="","",IF(COUNTIFS($A$2:$A1560,$A1560,$C$2:$C1560,$C1560)=1,1,0))</f>
        <v/>
      </c>
      <c r="O1560">
        <f>IF($A1560="","",IF($B1560&lt;&gt;"",$B1560,$O1559))</f>
        <v/>
      </c>
    </row>
    <row r="1561">
      <c r="N1561">
        <f>IF($A1561="","",IF(COUNTIFS($A$2:$A1561,$A1561,$C$2:$C1561,$C1561)=1,1,0))</f>
        <v/>
      </c>
      <c r="O1561">
        <f>IF($A1561="","",IF($B1561&lt;&gt;"",$B1561,$O1560))</f>
        <v/>
      </c>
    </row>
    <row r="1562">
      <c r="N1562">
        <f>IF($A1562="","",IF(COUNTIFS($A$2:$A1562,$A1562,$C$2:$C1562,$C1562)=1,1,0))</f>
        <v/>
      </c>
      <c r="O1562">
        <f>IF($A1562="","",IF($B1562&lt;&gt;"",$B1562,$O1561))</f>
        <v/>
      </c>
    </row>
    <row r="1563">
      <c r="N1563">
        <f>IF($A1563="","",IF(COUNTIFS($A$2:$A1563,$A1563,$C$2:$C1563,$C1563)=1,1,0))</f>
        <v/>
      </c>
      <c r="O1563">
        <f>IF($A1563="","",IF($B1563&lt;&gt;"",$B1563,$O1562))</f>
        <v/>
      </c>
    </row>
    <row r="1564">
      <c r="N1564">
        <f>IF($A1564="","",IF(COUNTIFS($A$2:$A1564,$A1564,$C$2:$C1564,$C1564)=1,1,0))</f>
        <v/>
      </c>
      <c r="O1564">
        <f>IF($A1564="","",IF($B1564&lt;&gt;"",$B1564,$O1563))</f>
        <v/>
      </c>
    </row>
    <row r="1565">
      <c r="N1565">
        <f>IF($A1565="","",IF(COUNTIFS($A$2:$A1565,$A1565,$C$2:$C1565,$C1565)=1,1,0))</f>
        <v/>
      </c>
      <c r="O1565">
        <f>IF($A1565="","",IF($B1565&lt;&gt;"",$B1565,$O1564))</f>
        <v/>
      </c>
    </row>
    <row r="1566">
      <c r="N1566">
        <f>IF($A1566="","",IF(COUNTIFS($A$2:$A1566,$A1566,$C$2:$C1566,$C1566)=1,1,0))</f>
        <v/>
      </c>
      <c r="O1566">
        <f>IF($A1566="","",IF($B1566&lt;&gt;"",$B1566,$O1565))</f>
        <v/>
      </c>
    </row>
    <row r="1567">
      <c r="N1567">
        <f>IF($A1567="","",IF(COUNTIFS($A$2:$A1567,$A1567,$C$2:$C1567,$C1567)=1,1,0))</f>
        <v/>
      </c>
      <c r="O1567">
        <f>IF($A1567="","",IF($B1567&lt;&gt;"",$B1567,$O1566))</f>
        <v/>
      </c>
    </row>
    <row r="1568">
      <c r="N1568">
        <f>IF($A1568="","",IF(COUNTIFS($A$2:$A1568,$A1568,$C$2:$C1568,$C1568)=1,1,0))</f>
        <v/>
      </c>
      <c r="O1568">
        <f>IF($A1568="","",IF($B1568&lt;&gt;"",$B1568,$O1567))</f>
        <v/>
      </c>
    </row>
    <row r="1569">
      <c r="N1569">
        <f>IF($A1569="","",IF(COUNTIFS($A$2:$A1569,$A1569,$C$2:$C1569,$C1569)=1,1,0))</f>
        <v/>
      </c>
      <c r="O1569">
        <f>IF($A1569="","",IF($B1569&lt;&gt;"",$B1569,$O1568))</f>
        <v/>
      </c>
    </row>
    <row r="1570">
      <c r="N1570">
        <f>IF($A1570="","",IF(COUNTIFS($A$2:$A1570,$A1570,$C$2:$C1570,$C1570)=1,1,0))</f>
        <v/>
      </c>
      <c r="O1570">
        <f>IF($A1570="","",IF($B1570&lt;&gt;"",$B1570,$O1569))</f>
        <v/>
      </c>
    </row>
    <row r="1571">
      <c r="N1571">
        <f>IF($A1571="","",IF(COUNTIFS($A$2:$A1571,$A1571,$C$2:$C1571,$C1571)=1,1,0))</f>
        <v/>
      </c>
      <c r="O1571">
        <f>IF($A1571="","",IF($B1571&lt;&gt;"",$B1571,$O1570))</f>
        <v/>
      </c>
    </row>
    <row r="1572">
      <c r="N1572">
        <f>IF($A1572="","",IF(COUNTIFS($A$2:$A1572,$A1572,$C$2:$C1572,$C1572)=1,1,0))</f>
        <v/>
      </c>
      <c r="O1572">
        <f>IF($A1572="","",IF($B1572&lt;&gt;"",$B1572,$O1571))</f>
        <v/>
      </c>
    </row>
    <row r="1573">
      <c r="N1573">
        <f>IF($A1573="","",IF(COUNTIFS($A$2:$A1573,$A1573,$C$2:$C1573,$C1573)=1,1,0))</f>
        <v/>
      </c>
      <c r="O1573">
        <f>IF($A1573="","",IF($B1573&lt;&gt;"",$B1573,$O1572))</f>
        <v/>
      </c>
    </row>
    <row r="1574">
      <c r="N1574">
        <f>IF($A1574="","",IF(COUNTIFS($A$2:$A1574,$A1574,$C$2:$C1574,$C1574)=1,1,0))</f>
        <v/>
      </c>
      <c r="O1574">
        <f>IF($A1574="","",IF($B1574&lt;&gt;"",$B1574,$O1573))</f>
        <v/>
      </c>
    </row>
    <row r="1575">
      <c r="N1575">
        <f>IF($A1575="","",IF(COUNTIFS($A$2:$A1575,$A1575,$C$2:$C1575,$C1575)=1,1,0))</f>
        <v/>
      </c>
      <c r="O1575">
        <f>IF($A1575="","",IF($B1575&lt;&gt;"",$B1575,$O1574))</f>
        <v/>
      </c>
    </row>
    <row r="1576">
      <c r="N1576">
        <f>IF($A1576="","",IF(COUNTIFS($A$2:$A1576,$A1576,$C$2:$C1576,$C1576)=1,1,0))</f>
        <v/>
      </c>
      <c r="O1576">
        <f>IF($A1576="","",IF($B1576&lt;&gt;"",$B1576,$O1575))</f>
        <v/>
      </c>
    </row>
    <row r="1577">
      <c r="N1577">
        <f>IF($A1577="","",IF(COUNTIFS($A$2:$A1577,$A1577,$C$2:$C1577,$C1577)=1,1,0))</f>
        <v/>
      </c>
      <c r="O1577">
        <f>IF($A1577="","",IF($B1577&lt;&gt;"",$B1577,$O1576))</f>
        <v/>
      </c>
    </row>
    <row r="1578">
      <c r="N1578">
        <f>IF($A1578="","",IF(COUNTIFS($A$2:$A1578,$A1578,$C$2:$C1578,$C1578)=1,1,0))</f>
        <v/>
      </c>
      <c r="O1578">
        <f>IF($A1578="","",IF($B1578&lt;&gt;"",$B1578,$O1577))</f>
        <v/>
      </c>
    </row>
    <row r="1579">
      <c r="N1579">
        <f>IF($A1579="","",IF(COUNTIFS($A$2:$A1579,$A1579,$C$2:$C1579,$C1579)=1,1,0))</f>
        <v/>
      </c>
      <c r="O1579">
        <f>IF($A1579="","",IF($B1579&lt;&gt;"",$B1579,$O1578))</f>
        <v/>
      </c>
    </row>
    <row r="1580">
      <c r="N1580">
        <f>IF($A1580="","",IF(COUNTIFS($A$2:$A1580,$A1580,$C$2:$C1580,$C1580)=1,1,0))</f>
        <v/>
      </c>
      <c r="O1580">
        <f>IF($A1580="","",IF($B1580&lt;&gt;"",$B1580,$O1579))</f>
        <v/>
      </c>
    </row>
    <row r="1581">
      <c r="N1581">
        <f>IF($A1581="","",IF(COUNTIFS($A$2:$A1581,$A1581,$C$2:$C1581,$C1581)=1,1,0))</f>
        <v/>
      </c>
      <c r="O1581">
        <f>IF($A1581="","",IF($B1581&lt;&gt;"",$B1581,$O1580))</f>
        <v/>
      </c>
    </row>
    <row r="1582">
      <c r="N1582">
        <f>IF($A1582="","",IF(COUNTIFS($A$2:$A1582,$A1582,$C$2:$C1582,$C1582)=1,1,0))</f>
        <v/>
      </c>
      <c r="O1582">
        <f>IF($A1582="","",IF($B1582&lt;&gt;"",$B1582,$O1581))</f>
        <v/>
      </c>
    </row>
    <row r="1583">
      <c r="N1583">
        <f>IF($A1583="","",IF(COUNTIFS($A$2:$A1583,$A1583,$C$2:$C1583,$C1583)=1,1,0))</f>
        <v/>
      </c>
      <c r="O1583">
        <f>IF($A1583="","",IF($B1583&lt;&gt;"",$B1583,$O1582))</f>
        <v/>
      </c>
    </row>
    <row r="1584">
      <c r="N1584">
        <f>IF($A1584="","",IF(COUNTIFS($A$2:$A1584,$A1584,$C$2:$C1584,$C1584)=1,1,0))</f>
        <v/>
      </c>
      <c r="O1584">
        <f>IF($A1584="","",IF($B1584&lt;&gt;"",$B1584,$O1583))</f>
        <v/>
      </c>
    </row>
    <row r="1585">
      <c r="N1585">
        <f>IF($A1585="","",IF(COUNTIFS($A$2:$A1585,$A1585,$C$2:$C1585,$C1585)=1,1,0))</f>
        <v/>
      </c>
      <c r="O1585">
        <f>IF($A1585="","",IF($B1585&lt;&gt;"",$B1585,$O1584))</f>
        <v/>
      </c>
    </row>
    <row r="1586">
      <c r="N1586">
        <f>IF($A1586="","",IF(COUNTIFS($A$2:$A1586,$A1586,$C$2:$C1586,$C1586)=1,1,0))</f>
        <v/>
      </c>
      <c r="O1586">
        <f>IF($A1586="","",IF($B1586&lt;&gt;"",$B1586,$O1585))</f>
        <v/>
      </c>
    </row>
    <row r="1587">
      <c r="N1587">
        <f>IF($A1587="","",IF(COUNTIFS($A$2:$A1587,$A1587,$C$2:$C1587,$C1587)=1,1,0))</f>
        <v/>
      </c>
      <c r="O1587">
        <f>IF($A1587="","",IF($B1587&lt;&gt;"",$B1587,$O1586))</f>
        <v/>
      </c>
    </row>
    <row r="1588">
      <c r="N1588">
        <f>IF($A1588="","",IF(COUNTIFS($A$2:$A1588,$A1588,$C$2:$C1588,$C1588)=1,1,0))</f>
        <v/>
      </c>
      <c r="O1588">
        <f>IF($A1588="","",IF($B1588&lt;&gt;"",$B1588,$O1587))</f>
        <v/>
      </c>
    </row>
    <row r="1589">
      <c r="N1589">
        <f>IF($A1589="","",IF(COUNTIFS($A$2:$A1589,$A1589,$C$2:$C1589,$C1589)=1,1,0))</f>
        <v/>
      </c>
      <c r="O1589">
        <f>IF($A1589="","",IF($B1589&lt;&gt;"",$B1589,$O1588))</f>
        <v/>
      </c>
    </row>
    <row r="1590">
      <c r="N1590">
        <f>IF($A1590="","",IF(COUNTIFS($A$2:$A1590,$A1590,$C$2:$C1590,$C1590)=1,1,0))</f>
        <v/>
      </c>
      <c r="O1590">
        <f>IF($A1590="","",IF($B1590&lt;&gt;"",$B1590,$O1589))</f>
        <v/>
      </c>
    </row>
    <row r="1591">
      <c r="N1591">
        <f>IF($A1591="","",IF(COUNTIFS($A$2:$A1591,$A1591,$C$2:$C1591,$C1591)=1,1,0))</f>
        <v/>
      </c>
      <c r="O1591">
        <f>IF($A1591="","",IF($B1591&lt;&gt;"",$B1591,$O1590))</f>
        <v/>
      </c>
    </row>
    <row r="1592">
      <c r="N1592">
        <f>IF($A1592="","",IF(COUNTIFS($A$2:$A1592,$A1592,$C$2:$C1592,$C1592)=1,1,0))</f>
        <v/>
      </c>
      <c r="O1592">
        <f>IF($A1592="","",IF($B1592&lt;&gt;"",$B1592,$O1591))</f>
        <v/>
      </c>
    </row>
    <row r="1593">
      <c r="N1593">
        <f>IF($A1593="","",IF(COUNTIFS($A$2:$A1593,$A1593,$C$2:$C1593,$C1593)=1,1,0))</f>
        <v/>
      </c>
      <c r="O1593">
        <f>IF($A1593="","",IF($B1593&lt;&gt;"",$B1593,$O1592))</f>
        <v/>
      </c>
    </row>
    <row r="1594">
      <c r="N1594">
        <f>IF($A1594="","",IF(COUNTIFS($A$2:$A1594,$A1594,$C$2:$C1594,$C1594)=1,1,0))</f>
        <v/>
      </c>
      <c r="O1594">
        <f>IF($A1594="","",IF($B1594&lt;&gt;"",$B1594,$O1593))</f>
        <v/>
      </c>
    </row>
    <row r="1595">
      <c r="N1595">
        <f>IF($A1595="","",IF(COUNTIFS($A$2:$A1595,$A1595,$C$2:$C1595,$C1595)=1,1,0))</f>
        <v/>
      </c>
      <c r="O1595">
        <f>IF($A1595="","",IF($B1595&lt;&gt;"",$B1595,$O1594))</f>
        <v/>
      </c>
    </row>
    <row r="1596">
      <c r="N1596">
        <f>IF($A1596="","",IF(COUNTIFS($A$2:$A1596,$A1596,$C$2:$C1596,$C1596)=1,1,0))</f>
        <v/>
      </c>
      <c r="O1596">
        <f>IF($A1596="","",IF($B1596&lt;&gt;"",$B1596,$O1595))</f>
        <v/>
      </c>
    </row>
    <row r="1597">
      <c r="N1597">
        <f>IF($A1597="","",IF(COUNTIFS($A$2:$A1597,$A1597,$C$2:$C1597,$C1597)=1,1,0))</f>
        <v/>
      </c>
      <c r="O1597">
        <f>IF($A1597="","",IF($B1597&lt;&gt;"",$B1597,$O1596))</f>
        <v/>
      </c>
    </row>
    <row r="1598">
      <c r="N1598">
        <f>IF($A1598="","",IF(COUNTIFS($A$2:$A1598,$A1598,$C$2:$C1598,$C1598)=1,1,0))</f>
        <v/>
      </c>
      <c r="O1598">
        <f>IF($A1598="","",IF($B1598&lt;&gt;"",$B1598,$O1597))</f>
        <v/>
      </c>
    </row>
    <row r="1599">
      <c r="N1599">
        <f>IF($A1599="","",IF(COUNTIFS($A$2:$A1599,$A1599,$C$2:$C1599,$C1599)=1,1,0))</f>
        <v/>
      </c>
      <c r="O1599">
        <f>IF($A1599="","",IF($B1599&lt;&gt;"",$B1599,$O1598))</f>
        <v/>
      </c>
    </row>
    <row r="1600">
      <c r="N1600">
        <f>IF($A1600="","",IF(COUNTIFS($A$2:$A1600,$A1600,$C$2:$C1600,$C1600)=1,1,0))</f>
        <v/>
      </c>
      <c r="O1600">
        <f>IF($A1600="","",IF($B1600&lt;&gt;"",$B1600,$O1599))</f>
        <v/>
      </c>
    </row>
    <row r="1601">
      <c r="N1601">
        <f>IF($A1601="","",IF(COUNTIFS($A$2:$A1601,$A1601,$C$2:$C1601,$C1601)=1,1,0))</f>
        <v/>
      </c>
      <c r="O1601">
        <f>IF($A1601="","",IF($B1601&lt;&gt;"",$B1601,$O1600))</f>
        <v/>
      </c>
    </row>
    <row r="1602">
      <c r="N1602">
        <f>IF($A1602="","",IF(COUNTIFS($A$2:$A1602,$A1602,$C$2:$C1602,$C1602)=1,1,0))</f>
        <v/>
      </c>
      <c r="O1602">
        <f>IF($A1602="","",IF($B1602&lt;&gt;"",$B1602,$O1601))</f>
        <v/>
      </c>
    </row>
    <row r="1603">
      <c r="N1603">
        <f>IF($A1603="","",IF(COUNTIFS($A$2:$A1603,$A1603,$C$2:$C1603,$C1603)=1,1,0))</f>
        <v/>
      </c>
      <c r="O1603">
        <f>IF($A1603="","",IF($B1603&lt;&gt;"",$B1603,$O1602))</f>
        <v/>
      </c>
    </row>
    <row r="1604">
      <c r="N1604">
        <f>IF($A1604="","",IF(COUNTIFS($A$2:$A1604,$A1604,$C$2:$C1604,$C1604)=1,1,0))</f>
        <v/>
      </c>
      <c r="O1604">
        <f>IF($A1604="","",IF($B1604&lt;&gt;"",$B1604,$O1603))</f>
        <v/>
      </c>
    </row>
    <row r="1605">
      <c r="N1605">
        <f>IF($A1605="","",IF(COUNTIFS($A$2:$A1605,$A1605,$C$2:$C1605,$C1605)=1,1,0))</f>
        <v/>
      </c>
      <c r="O1605">
        <f>IF($A1605="","",IF($B1605&lt;&gt;"",$B1605,$O1604))</f>
        <v/>
      </c>
    </row>
    <row r="1606">
      <c r="N1606">
        <f>IF($A1606="","",IF(COUNTIFS($A$2:$A1606,$A1606,$C$2:$C1606,$C1606)=1,1,0))</f>
        <v/>
      </c>
      <c r="O1606">
        <f>IF($A1606="","",IF($B1606&lt;&gt;"",$B1606,$O1605))</f>
        <v/>
      </c>
    </row>
    <row r="1607">
      <c r="N1607">
        <f>IF($A1607="","",IF(COUNTIFS($A$2:$A1607,$A1607,$C$2:$C1607,$C1607)=1,1,0))</f>
        <v/>
      </c>
      <c r="O1607">
        <f>IF($A1607="","",IF($B1607&lt;&gt;"",$B1607,$O1606))</f>
        <v/>
      </c>
    </row>
    <row r="1608">
      <c r="N1608">
        <f>IF($A1608="","",IF(COUNTIFS($A$2:$A1608,$A1608,$C$2:$C1608,$C1608)=1,1,0))</f>
        <v/>
      </c>
      <c r="O1608">
        <f>IF($A1608="","",IF($B1608&lt;&gt;"",$B1608,$O1607))</f>
        <v/>
      </c>
    </row>
    <row r="1609">
      <c r="N1609">
        <f>IF($A1609="","",IF(COUNTIFS($A$2:$A1609,$A1609,$C$2:$C1609,$C1609)=1,1,0))</f>
        <v/>
      </c>
      <c r="O1609">
        <f>IF($A1609="","",IF($B1609&lt;&gt;"",$B1609,$O1608))</f>
        <v/>
      </c>
    </row>
    <row r="1610">
      <c r="N1610">
        <f>IF($A1610="","",IF(COUNTIFS($A$2:$A1610,$A1610,$C$2:$C1610,$C1610)=1,1,0))</f>
        <v/>
      </c>
      <c r="O1610">
        <f>IF($A1610="","",IF($B1610&lt;&gt;"",$B1610,$O1609))</f>
        <v/>
      </c>
    </row>
    <row r="1611">
      <c r="N1611">
        <f>IF($A1611="","",IF(COUNTIFS($A$2:$A1611,$A1611,$C$2:$C1611,$C1611)=1,1,0))</f>
        <v/>
      </c>
      <c r="O1611">
        <f>IF($A1611="","",IF($B1611&lt;&gt;"",$B1611,$O1610))</f>
        <v/>
      </c>
    </row>
    <row r="1612">
      <c r="N1612">
        <f>IF($A1612="","",IF(COUNTIFS($A$2:$A1612,$A1612,$C$2:$C1612,$C1612)=1,1,0))</f>
        <v/>
      </c>
      <c r="O1612">
        <f>IF($A1612="","",IF($B1612&lt;&gt;"",$B1612,$O1611))</f>
        <v/>
      </c>
    </row>
    <row r="1613">
      <c r="N1613">
        <f>IF($A1613="","",IF(COUNTIFS($A$2:$A1613,$A1613,$C$2:$C1613,$C1613)=1,1,0))</f>
        <v/>
      </c>
      <c r="O1613">
        <f>IF($A1613="","",IF($B1613&lt;&gt;"",$B1613,$O1612))</f>
        <v/>
      </c>
    </row>
    <row r="1614">
      <c r="N1614">
        <f>IF($A1614="","",IF(COUNTIFS($A$2:$A1614,$A1614,$C$2:$C1614,$C1614)=1,1,0))</f>
        <v/>
      </c>
      <c r="O1614">
        <f>IF($A1614="","",IF($B1614&lt;&gt;"",$B1614,$O1613))</f>
        <v/>
      </c>
    </row>
    <row r="1615">
      <c r="N1615">
        <f>IF($A1615="","",IF(COUNTIFS($A$2:$A1615,$A1615,$C$2:$C1615,$C1615)=1,1,0))</f>
        <v/>
      </c>
      <c r="O1615">
        <f>IF($A1615="","",IF($B1615&lt;&gt;"",$B1615,$O1614))</f>
        <v/>
      </c>
    </row>
    <row r="1616">
      <c r="N1616">
        <f>IF($A1616="","",IF(COUNTIFS($A$2:$A1616,$A1616,$C$2:$C1616,$C1616)=1,1,0))</f>
        <v/>
      </c>
      <c r="O1616">
        <f>IF($A1616="","",IF($B1616&lt;&gt;"",$B1616,$O1615))</f>
        <v/>
      </c>
    </row>
    <row r="1617">
      <c r="N1617">
        <f>IF($A1617="","",IF(COUNTIFS($A$2:$A1617,$A1617,$C$2:$C1617,$C1617)=1,1,0))</f>
        <v/>
      </c>
      <c r="O1617">
        <f>IF($A1617="","",IF($B1617&lt;&gt;"",$B1617,$O1616))</f>
        <v/>
      </c>
    </row>
    <row r="1618">
      <c r="N1618">
        <f>IF($A1618="","",IF(COUNTIFS($A$2:$A1618,$A1618,$C$2:$C1618,$C1618)=1,1,0))</f>
        <v/>
      </c>
      <c r="O1618">
        <f>IF($A1618="","",IF($B1618&lt;&gt;"",$B1618,$O1617))</f>
        <v/>
      </c>
    </row>
    <row r="1619">
      <c r="N1619">
        <f>IF($A1619="","",IF(COUNTIFS($A$2:$A1619,$A1619,$C$2:$C1619,$C1619)=1,1,0))</f>
        <v/>
      </c>
      <c r="O1619">
        <f>IF($A1619="","",IF($B1619&lt;&gt;"",$B1619,$O1618))</f>
        <v/>
      </c>
    </row>
    <row r="1620">
      <c r="N1620">
        <f>IF($A1620="","",IF(COUNTIFS($A$2:$A1620,$A1620,$C$2:$C1620,$C1620)=1,1,0))</f>
        <v/>
      </c>
      <c r="O1620">
        <f>IF($A1620="","",IF($B1620&lt;&gt;"",$B1620,$O1619))</f>
        <v/>
      </c>
    </row>
    <row r="1621">
      <c r="N1621">
        <f>IF($A1621="","",IF(COUNTIFS($A$2:$A1621,$A1621,$C$2:$C1621,$C1621)=1,1,0))</f>
        <v/>
      </c>
      <c r="O1621">
        <f>IF($A1621="","",IF($B1621&lt;&gt;"",$B1621,$O1620))</f>
        <v/>
      </c>
    </row>
    <row r="1622">
      <c r="N1622">
        <f>IF($A1622="","",IF(COUNTIFS($A$2:$A1622,$A1622,$C$2:$C1622,$C1622)=1,1,0))</f>
        <v/>
      </c>
      <c r="O1622">
        <f>IF($A1622="","",IF($B1622&lt;&gt;"",$B1622,$O1621))</f>
        <v/>
      </c>
    </row>
    <row r="1623">
      <c r="N1623">
        <f>IF($A1623="","",IF(COUNTIFS($A$2:$A1623,$A1623,$C$2:$C1623,$C1623)=1,1,0))</f>
        <v/>
      </c>
      <c r="O1623">
        <f>IF($A1623="","",IF($B1623&lt;&gt;"",$B1623,$O1622))</f>
        <v/>
      </c>
    </row>
    <row r="1624">
      <c r="N1624">
        <f>IF($A1624="","",IF(COUNTIFS($A$2:$A1624,$A1624,$C$2:$C1624,$C1624)=1,1,0))</f>
        <v/>
      </c>
      <c r="O1624">
        <f>IF($A1624="","",IF($B1624&lt;&gt;"",$B1624,$O1623))</f>
        <v/>
      </c>
    </row>
    <row r="1625">
      <c r="N1625">
        <f>IF($A1625="","",IF(COUNTIFS($A$2:$A1625,$A1625,$C$2:$C1625,$C1625)=1,1,0))</f>
        <v/>
      </c>
      <c r="O1625">
        <f>IF($A1625="","",IF($B1625&lt;&gt;"",$B1625,$O1624))</f>
        <v/>
      </c>
    </row>
    <row r="1626">
      <c r="N1626">
        <f>IF($A1626="","",IF(COUNTIFS($A$2:$A1626,$A1626,$C$2:$C1626,$C1626)=1,1,0))</f>
        <v/>
      </c>
      <c r="O1626">
        <f>IF($A1626="","",IF($B1626&lt;&gt;"",$B1626,$O1625))</f>
        <v/>
      </c>
    </row>
    <row r="1627">
      <c r="N1627">
        <f>IF($A1627="","",IF(COUNTIFS($A$2:$A1627,$A1627,$C$2:$C1627,$C1627)=1,1,0))</f>
        <v/>
      </c>
      <c r="O1627">
        <f>IF($A1627="","",IF($B1627&lt;&gt;"",$B1627,$O1626))</f>
        <v/>
      </c>
    </row>
    <row r="1628">
      <c r="N1628">
        <f>IF($A1628="","",IF(COUNTIFS($A$2:$A1628,$A1628,$C$2:$C1628,$C1628)=1,1,0))</f>
        <v/>
      </c>
      <c r="O1628">
        <f>IF($A1628="","",IF($B1628&lt;&gt;"",$B1628,$O1627))</f>
        <v/>
      </c>
    </row>
    <row r="1629">
      <c r="N1629">
        <f>IF($A1629="","",IF(COUNTIFS($A$2:$A1629,$A1629,$C$2:$C1629,$C1629)=1,1,0))</f>
        <v/>
      </c>
      <c r="O1629">
        <f>IF($A1629="","",IF($B1629&lt;&gt;"",$B1629,$O1628))</f>
        <v/>
      </c>
    </row>
    <row r="1630">
      <c r="N1630">
        <f>IF($A1630="","",IF(COUNTIFS($A$2:$A1630,$A1630,$C$2:$C1630,$C1630)=1,1,0))</f>
        <v/>
      </c>
      <c r="O1630">
        <f>IF($A1630="","",IF($B1630&lt;&gt;"",$B1630,$O1629))</f>
        <v/>
      </c>
    </row>
    <row r="1631">
      <c r="N1631">
        <f>IF($A1631="","",IF(COUNTIFS($A$2:$A1631,$A1631,$C$2:$C1631,$C1631)=1,1,0))</f>
        <v/>
      </c>
      <c r="O1631">
        <f>IF($A1631="","",IF($B1631&lt;&gt;"",$B1631,$O1630))</f>
        <v/>
      </c>
    </row>
    <row r="1632">
      <c r="N1632">
        <f>IF($A1632="","",IF(COUNTIFS($A$2:$A1632,$A1632,$C$2:$C1632,$C1632)=1,1,0))</f>
        <v/>
      </c>
      <c r="O1632">
        <f>IF($A1632="","",IF($B1632&lt;&gt;"",$B1632,$O1631))</f>
        <v/>
      </c>
    </row>
    <row r="1633">
      <c r="N1633">
        <f>IF($A1633="","",IF(COUNTIFS($A$2:$A1633,$A1633,$C$2:$C1633,$C1633)=1,1,0))</f>
        <v/>
      </c>
      <c r="O1633">
        <f>IF($A1633="","",IF($B1633&lt;&gt;"",$B1633,$O1632))</f>
        <v/>
      </c>
    </row>
    <row r="1634">
      <c r="N1634">
        <f>IF($A1634="","",IF(COUNTIFS($A$2:$A1634,$A1634,$C$2:$C1634,$C1634)=1,1,0))</f>
        <v/>
      </c>
      <c r="O1634">
        <f>IF($A1634="","",IF($B1634&lt;&gt;"",$B1634,$O1633))</f>
        <v/>
      </c>
    </row>
    <row r="1635">
      <c r="N1635">
        <f>IF($A1635="","",IF(COUNTIFS($A$2:$A1635,$A1635,$C$2:$C1635,$C1635)=1,1,0))</f>
        <v/>
      </c>
      <c r="O1635">
        <f>IF($A1635="","",IF($B1635&lt;&gt;"",$B1635,$O1634))</f>
        <v/>
      </c>
    </row>
    <row r="1636">
      <c r="N1636">
        <f>IF($A1636="","",IF(COUNTIFS($A$2:$A1636,$A1636,$C$2:$C1636,$C1636)=1,1,0))</f>
        <v/>
      </c>
      <c r="O1636">
        <f>IF($A1636="","",IF($B1636&lt;&gt;"",$B1636,$O1635))</f>
        <v/>
      </c>
    </row>
    <row r="1637">
      <c r="N1637">
        <f>IF($A1637="","",IF(COUNTIFS($A$2:$A1637,$A1637,$C$2:$C1637,$C1637)=1,1,0))</f>
        <v/>
      </c>
      <c r="O1637">
        <f>IF($A1637="","",IF($B1637&lt;&gt;"",$B1637,$O1636))</f>
        <v/>
      </c>
    </row>
    <row r="1638">
      <c r="N1638">
        <f>IF($A1638="","",IF(COUNTIFS($A$2:$A1638,$A1638,$C$2:$C1638,$C1638)=1,1,0))</f>
        <v/>
      </c>
      <c r="O1638">
        <f>IF($A1638="","",IF($B1638&lt;&gt;"",$B1638,$O1637))</f>
        <v/>
      </c>
    </row>
    <row r="1639">
      <c r="N1639">
        <f>IF($A1639="","",IF(COUNTIFS($A$2:$A1639,$A1639,$C$2:$C1639,$C1639)=1,1,0))</f>
        <v/>
      </c>
      <c r="O1639">
        <f>IF($A1639="","",IF($B1639&lt;&gt;"",$B1639,$O1638))</f>
        <v/>
      </c>
    </row>
    <row r="1640">
      <c r="N1640">
        <f>IF($A1640="","",IF(COUNTIFS($A$2:$A1640,$A1640,$C$2:$C1640,$C1640)=1,1,0))</f>
        <v/>
      </c>
      <c r="O1640">
        <f>IF($A1640="","",IF($B1640&lt;&gt;"",$B1640,$O1639))</f>
        <v/>
      </c>
    </row>
    <row r="1641">
      <c r="N1641">
        <f>IF($A1641="","",IF(COUNTIFS($A$2:$A1641,$A1641,$C$2:$C1641,$C1641)=1,1,0))</f>
        <v/>
      </c>
      <c r="O1641">
        <f>IF($A1641="","",IF($B1641&lt;&gt;"",$B1641,$O1640))</f>
        <v/>
      </c>
    </row>
    <row r="1642">
      <c r="N1642">
        <f>IF($A1642="","",IF(COUNTIFS($A$2:$A1642,$A1642,$C$2:$C1642,$C1642)=1,1,0))</f>
        <v/>
      </c>
      <c r="O1642">
        <f>IF($A1642="","",IF($B1642&lt;&gt;"",$B1642,$O1641))</f>
        <v/>
      </c>
    </row>
    <row r="1643">
      <c r="N1643">
        <f>IF($A1643="","",IF(COUNTIFS($A$2:$A1643,$A1643,$C$2:$C1643,$C1643)=1,1,0))</f>
        <v/>
      </c>
      <c r="O1643">
        <f>IF($A1643="","",IF($B1643&lt;&gt;"",$B1643,$O1642))</f>
        <v/>
      </c>
    </row>
    <row r="1644">
      <c r="N1644">
        <f>IF($A1644="","",IF(COUNTIFS($A$2:$A1644,$A1644,$C$2:$C1644,$C1644)=1,1,0))</f>
        <v/>
      </c>
      <c r="O1644">
        <f>IF($A1644="","",IF($B1644&lt;&gt;"",$B1644,$O1643))</f>
        <v/>
      </c>
    </row>
    <row r="1645">
      <c r="N1645">
        <f>IF($A1645="","",IF(COUNTIFS($A$2:$A1645,$A1645,$C$2:$C1645,$C1645)=1,1,0))</f>
        <v/>
      </c>
      <c r="O1645">
        <f>IF($A1645="","",IF($B1645&lt;&gt;"",$B1645,$O1644))</f>
        <v/>
      </c>
    </row>
    <row r="1646">
      <c r="N1646">
        <f>IF($A1646="","",IF(COUNTIFS($A$2:$A1646,$A1646,$C$2:$C1646,$C1646)=1,1,0))</f>
        <v/>
      </c>
      <c r="O1646">
        <f>IF($A1646="","",IF($B1646&lt;&gt;"",$B1646,$O1645))</f>
        <v/>
      </c>
    </row>
    <row r="1647">
      <c r="N1647">
        <f>IF($A1647="","",IF(COUNTIFS($A$2:$A1647,$A1647,$C$2:$C1647,$C1647)=1,1,0))</f>
        <v/>
      </c>
      <c r="O1647">
        <f>IF($A1647="","",IF($B1647&lt;&gt;"",$B1647,$O1646))</f>
        <v/>
      </c>
    </row>
    <row r="1648">
      <c r="N1648">
        <f>IF($A1648="","",IF(COUNTIFS($A$2:$A1648,$A1648,$C$2:$C1648,$C1648)=1,1,0))</f>
        <v/>
      </c>
      <c r="O1648">
        <f>IF($A1648="","",IF($B1648&lt;&gt;"",$B1648,$O1647))</f>
        <v/>
      </c>
    </row>
    <row r="1649">
      <c r="N1649">
        <f>IF($A1649="","",IF(COUNTIFS($A$2:$A1649,$A1649,$C$2:$C1649,$C1649)=1,1,0))</f>
        <v/>
      </c>
      <c r="O1649">
        <f>IF($A1649="","",IF($B1649&lt;&gt;"",$B1649,$O1648))</f>
        <v/>
      </c>
    </row>
    <row r="1650">
      <c r="N1650">
        <f>IF($A1650="","",IF(COUNTIFS($A$2:$A1650,$A1650,$C$2:$C1650,$C1650)=1,1,0))</f>
        <v/>
      </c>
      <c r="O1650">
        <f>IF($A1650="","",IF($B1650&lt;&gt;"",$B1650,$O1649))</f>
        <v/>
      </c>
    </row>
    <row r="1651">
      <c r="N1651">
        <f>IF($A1651="","",IF(COUNTIFS($A$2:$A1651,$A1651,$C$2:$C1651,$C1651)=1,1,0))</f>
        <v/>
      </c>
      <c r="O1651">
        <f>IF($A1651="","",IF($B1651&lt;&gt;"",$B1651,$O1650))</f>
        <v/>
      </c>
    </row>
    <row r="1652">
      <c r="N1652">
        <f>IF($A1652="","",IF(COUNTIFS($A$2:$A1652,$A1652,$C$2:$C1652,$C1652)=1,1,0))</f>
        <v/>
      </c>
      <c r="O1652">
        <f>IF($A1652="","",IF($B1652&lt;&gt;"",$B1652,$O1651))</f>
        <v/>
      </c>
    </row>
    <row r="1653">
      <c r="N1653">
        <f>IF($A1653="","",IF(COUNTIFS($A$2:$A1653,$A1653,$C$2:$C1653,$C1653)=1,1,0))</f>
        <v/>
      </c>
      <c r="O1653">
        <f>IF($A1653="","",IF($B1653&lt;&gt;"",$B1653,$O1652))</f>
        <v/>
      </c>
    </row>
    <row r="1654">
      <c r="N1654">
        <f>IF($A1654="","",IF(COUNTIFS($A$2:$A1654,$A1654,$C$2:$C1654,$C1654)=1,1,0))</f>
        <v/>
      </c>
      <c r="O1654">
        <f>IF($A1654="","",IF($B1654&lt;&gt;"",$B1654,$O1653))</f>
        <v/>
      </c>
    </row>
    <row r="1655">
      <c r="N1655">
        <f>IF($A1655="","",IF(COUNTIFS($A$2:$A1655,$A1655,$C$2:$C1655,$C1655)=1,1,0))</f>
        <v/>
      </c>
      <c r="O1655">
        <f>IF($A1655="","",IF($B1655&lt;&gt;"",$B1655,$O1654))</f>
        <v/>
      </c>
    </row>
    <row r="1656">
      <c r="N1656">
        <f>IF($A1656="","",IF(COUNTIFS($A$2:$A1656,$A1656,$C$2:$C1656,$C1656)=1,1,0))</f>
        <v/>
      </c>
      <c r="O1656">
        <f>IF($A1656="","",IF($B1656&lt;&gt;"",$B1656,$O1655))</f>
        <v/>
      </c>
    </row>
    <row r="1657">
      <c r="N1657">
        <f>IF($A1657="","",IF(COUNTIFS($A$2:$A1657,$A1657,$C$2:$C1657,$C1657)=1,1,0))</f>
        <v/>
      </c>
      <c r="O1657">
        <f>IF($A1657="","",IF($B1657&lt;&gt;"",$B1657,$O1656))</f>
        <v/>
      </c>
    </row>
    <row r="1658">
      <c r="N1658">
        <f>IF($A1658="","",IF(COUNTIFS($A$2:$A1658,$A1658,$C$2:$C1658,$C1658)=1,1,0))</f>
        <v/>
      </c>
      <c r="O1658">
        <f>IF($A1658="","",IF($B1658&lt;&gt;"",$B1658,$O1657))</f>
        <v/>
      </c>
    </row>
    <row r="1659">
      <c r="N1659">
        <f>IF($A1659="","",IF(COUNTIFS($A$2:$A1659,$A1659,$C$2:$C1659,$C1659)=1,1,0))</f>
        <v/>
      </c>
      <c r="O1659">
        <f>IF($A1659="","",IF($B1659&lt;&gt;"",$B1659,$O1658))</f>
        <v/>
      </c>
    </row>
    <row r="1660">
      <c r="N1660">
        <f>IF($A1660="","",IF(COUNTIFS($A$2:$A1660,$A1660,$C$2:$C1660,$C1660)=1,1,0))</f>
        <v/>
      </c>
      <c r="O1660">
        <f>IF($A1660="","",IF($B1660&lt;&gt;"",$B1660,$O1659))</f>
        <v/>
      </c>
    </row>
    <row r="1661">
      <c r="N1661">
        <f>IF($A1661="","",IF(COUNTIFS($A$2:$A1661,$A1661,$C$2:$C1661,$C1661)=1,1,0))</f>
        <v/>
      </c>
      <c r="O1661">
        <f>IF($A1661="","",IF($B1661&lt;&gt;"",$B1661,$O1660))</f>
        <v/>
      </c>
    </row>
    <row r="1662">
      <c r="N1662">
        <f>IF($A1662="","",IF(COUNTIFS($A$2:$A1662,$A1662,$C$2:$C1662,$C1662)=1,1,0))</f>
        <v/>
      </c>
      <c r="O1662">
        <f>IF($A1662="","",IF($B1662&lt;&gt;"",$B1662,$O1661))</f>
        <v/>
      </c>
    </row>
    <row r="1663">
      <c r="N1663">
        <f>IF($A1663="","",IF(COUNTIFS($A$2:$A1663,$A1663,$C$2:$C1663,$C1663)=1,1,0))</f>
        <v/>
      </c>
      <c r="O1663">
        <f>IF($A1663="","",IF($B1663&lt;&gt;"",$B1663,$O1662))</f>
        <v/>
      </c>
    </row>
    <row r="1664">
      <c r="N1664">
        <f>IF($A1664="","",IF(COUNTIFS($A$2:$A1664,$A1664,$C$2:$C1664,$C1664)=1,1,0))</f>
        <v/>
      </c>
      <c r="O1664">
        <f>IF($A1664="","",IF($B1664&lt;&gt;"",$B1664,$O1663))</f>
        <v/>
      </c>
    </row>
    <row r="1665">
      <c r="N1665">
        <f>IF($A1665="","",IF(COUNTIFS($A$2:$A1665,$A1665,$C$2:$C1665,$C1665)=1,1,0))</f>
        <v/>
      </c>
      <c r="O1665">
        <f>IF($A1665="","",IF($B1665&lt;&gt;"",$B1665,$O1664))</f>
        <v/>
      </c>
    </row>
    <row r="1666">
      <c r="N1666">
        <f>IF($A1666="","",IF(COUNTIFS($A$2:$A1666,$A1666,$C$2:$C1666,$C1666)=1,1,0))</f>
        <v/>
      </c>
      <c r="O1666">
        <f>IF($A1666="","",IF($B1666&lt;&gt;"",$B1666,$O1665))</f>
        <v/>
      </c>
    </row>
    <row r="1667">
      <c r="N1667">
        <f>IF($A1667="","",IF(COUNTIFS($A$2:$A1667,$A1667,$C$2:$C1667,$C1667)=1,1,0))</f>
        <v/>
      </c>
      <c r="O1667">
        <f>IF($A1667="","",IF($B1667&lt;&gt;"",$B1667,$O1666))</f>
        <v/>
      </c>
    </row>
    <row r="1668">
      <c r="N1668">
        <f>IF($A1668="","",IF(COUNTIFS($A$2:$A1668,$A1668,$C$2:$C1668,$C1668)=1,1,0))</f>
        <v/>
      </c>
      <c r="O1668">
        <f>IF($A1668="","",IF($B1668&lt;&gt;"",$B1668,$O1667))</f>
        <v/>
      </c>
    </row>
    <row r="1669">
      <c r="N1669">
        <f>IF($A1669="","",IF(COUNTIFS($A$2:$A1669,$A1669,$C$2:$C1669,$C1669)=1,1,0))</f>
        <v/>
      </c>
      <c r="O1669">
        <f>IF($A1669="","",IF($B1669&lt;&gt;"",$B1669,$O1668))</f>
        <v/>
      </c>
    </row>
    <row r="1670">
      <c r="N1670">
        <f>IF($A1670="","",IF(COUNTIFS($A$2:$A1670,$A1670,$C$2:$C1670,$C1670)=1,1,0))</f>
        <v/>
      </c>
      <c r="O1670">
        <f>IF($A1670="","",IF($B1670&lt;&gt;"",$B1670,$O1669))</f>
        <v/>
      </c>
    </row>
    <row r="1671">
      <c r="N1671">
        <f>IF($A1671="","",IF(COUNTIFS($A$2:$A1671,$A1671,$C$2:$C1671,$C1671)=1,1,0))</f>
        <v/>
      </c>
      <c r="O1671">
        <f>IF($A1671="","",IF($B1671&lt;&gt;"",$B1671,$O1670))</f>
        <v/>
      </c>
    </row>
    <row r="1672">
      <c r="N1672">
        <f>IF($A1672="","",IF(COUNTIFS($A$2:$A1672,$A1672,$C$2:$C1672,$C1672)=1,1,0))</f>
        <v/>
      </c>
      <c r="O1672">
        <f>IF($A1672="","",IF($B1672&lt;&gt;"",$B1672,$O1671))</f>
        <v/>
      </c>
    </row>
    <row r="1673">
      <c r="N1673">
        <f>IF($A1673="","",IF(COUNTIFS($A$2:$A1673,$A1673,$C$2:$C1673,$C1673)=1,1,0))</f>
        <v/>
      </c>
      <c r="O1673">
        <f>IF($A1673="","",IF($B1673&lt;&gt;"",$B1673,$O1672))</f>
        <v/>
      </c>
    </row>
    <row r="1674">
      <c r="N1674">
        <f>IF($A1674="","",IF(COUNTIFS($A$2:$A1674,$A1674,$C$2:$C1674,$C1674)=1,1,0))</f>
        <v/>
      </c>
      <c r="O1674">
        <f>IF($A1674="","",IF($B1674&lt;&gt;"",$B1674,$O1673))</f>
        <v/>
      </c>
    </row>
    <row r="1675">
      <c r="N1675">
        <f>IF($A1675="","",IF(COUNTIFS($A$2:$A1675,$A1675,$C$2:$C1675,$C1675)=1,1,0))</f>
        <v/>
      </c>
      <c r="O1675">
        <f>IF($A1675="","",IF($B1675&lt;&gt;"",$B1675,$O1674))</f>
        <v/>
      </c>
    </row>
    <row r="1676">
      <c r="N1676">
        <f>IF($A1676="","",IF(COUNTIFS($A$2:$A1676,$A1676,$C$2:$C1676,$C1676)=1,1,0))</f>
        <v/>
      </c>
      <c r="O1676">
        <f>IF($A1676="","",IF($B1676&lt;&gt;"",$B1676,$O1675))</f>
        <v/>
      </c>
    </row>
    <row r="1677">
      <c r="N1677">
        <f>IF($A1677="","",IF(COUNTIFS($A$2:$A1677,$A1677,$C$2:$C1677,$C1677)=1,1,0))</f>
        <v/>
      </c>
      <c r="O1677">
        <f>IF($A1677="","",IF($B1677&lt;&gt;"",$B1677,$O1676))</f>
        <v/>
      </c>
    </row>
    <row r="1678">
      <c r="N1678">
        <f>IF($A1678="","",IF(COUNTIFS($A$2:$A1678,$A1678,$C$2:$C1678,$C1678)=1,1,0))</f>
        <v/>
      </c>
      <c r="O1678">
        <f>IF($A1678="","",IF($B1678&lt;&gt;"",$B1678,$O1677))</f>
        <v/>
      </c>
    </row>
    <row r="1679">
      <c r="N1679">
        <f>IF($A1679="","",IF(COUNTIFS($A$2:$A1679,$A1679,$C$2:$C1679,$C1679)=1,1,0))</f>
        <v/>
      </c>
      <c r="O1679">
        <f>IF($A1679="","",IF($B1679&lt;&gt;"",$B1679,$O1678))</f>
        <v/>
      </c>
    </row>
    <row r="1680">
      <c r="N1680">
        <f>IF($A1680="","",IF(COUNTIFS($A$2:$A1680,$A1680,$C$2:$C1680,$C1680)=1,1,0))</f>
        <v/>
      </c>
      <c r="O1680">
        <f>IF($A1680="","",IF($B1680&lt;&gt;"",$B1680,$O1679))</f>
        <v/>
      </c>
    </row>
    <row r="1681">
      <c r="N1681">
        <f>IF($A1681="","",IF(COUNTIFS($A$2:$A1681,$A1681,$C$2:$C1681,$C1681)=1,1,0))</f>
        <v/>
      </c>
      <c r="O1681">
        <f>IF($A1681="","",IF($B1681&lt;&gt;"",$B1681,$O1680))</f>
        <v/>
      </c>
    </row>
    <row r="1682">
      <c r="N1682">
        <f>IF($A1682="","",IF(COUNTIFS($A$2:$A1682,$A1682,$C$2:$C1682,$C1682)=1,1,0))</f>
        <v/>
      </c>
      <c r="O1682">
        <f>IF($A1682="","",IF($B1682&lt;&gt;"",$B1682,$O1681))</f>
        <v/>
      </c>
    </row>
    <row r="1683">
      <c r="N1683">
        <f>IF($A1683="","",IF(COUNTIFS($A$2:$A1683,$A1683,$C$2:$C1683,$C1683)=1,1,0))</f>
        <v/>
      </c>
      <c r="O1683">
        <f>IF($A1683="","",IF($B1683&lt;&gt;"",$B1683,$O1682))</f>
        <v/>
      </c>
    </row>
    <row r="1684">
      <c r="N1684">
        <f>IF($A1684="","",IF(COUNTIFS($A$2:$A1684,$A1684,$C$2:$C1684,$C1684)=1,1,0))</f>
        <v/>
      </c>
      <c r="O1684">
        <f>IF($A1684="","",IF($B1684&lt;&gt;"",$B1684,$O1683))</f>
        <v/>
      </c>
    </row>
    <row r="1685">
      <c r="N1685">
        <f>IF($A1685="","",IF(COUNTIFS($A$2:$A1685,$A1685,$C$2:$C1685,$C1685)=1,1,0))</f>
        <v/>
      </c>
      <c r="O1685">
        <f>IF($A1685="","",IF($B1685&lt;&gt;"",$B1685,$O1684))</f>
        <v/>
      </c>
    </row>
    <row r="1686">
      <c r="N1686">
        <f>IF($A1686="","",IF(COUNTIFS($A$2:$A1686,$A1686,$C$2:$C1686,$C1686)=1,1,0))</f>
        <v/>
      </c>
      <c r="O1686">
        <f>IF($A1686="","",IF($B1686&lt;&gt;"",$B1686,$O1685))</f>
        <v/>
      </c>
    </row>
    <row r="1687">
      <c r="N1687">
        <f>IF($A1687="","",IF(COUNTIFS($A$2:$A1687,$A1687,$C$2:$C1687,$C1687)=1,1,0))</f>
        <v/>
      </c>
      <c r="O1687">
        <f>IF($A1687="","",IF($B1687&lt;&gt;"",$B1687,$O1686))</f>
        <v/>
      </c>
    </row>
    <row r="1688">
      <c r="N1688">
        <f>IF($A1688="","",IF(COUNTIFS($A$2:$A1688,$A1688,$C$2:$C1688,$C1688)=1,1,0))</f>
        <v/>
      </c>
      <c r="O1688">
        <f>IF($A1688="","",IF($B1688&lt;&gt;"",$B1688,$O1687))</f>
        <v/>
      </c>
    </row>
    <row r="1689">
      <c r="N1689">
        <f>IF($A1689="","",IF(COUNTIFS($A$2:$A1689,$A1689,$C$2:$C1689,$C1689)=1,1,0))</f>
        <v/>
      </c>
      <c r="O1689">
        <f>IF($A1689="","",IF($B1689&lt;&gt;"",$B1689,$O1688))</f>
        <v/>
      </c>
    </row>
    <row r="1690">
      <c r="N1690">
        <f>IF($A1690="","",IF(COUNTIFS($A$2:$A1690,$A1690,$C$2:$C1690,$C1690)=1,1,0))</f>
        <v/>
      </c>
      <c r="O1690">
        <f>IF($A1690="","",IF($B1690&lt;&gt;"",$B1690,$O1689))</f>
        <v/>
      </c>
    </row>
    <row r="1691">
      <c r="N1691">
        <f>IF($A1691="","",IF(COUNTIFS($A$2:$A1691,$A1691,$C$2:$C1691,$C1691)=1,1,0))</f>
        <v/>
      </c>
      <c r="O1691">
        <f>IF($A1691="","",IF($B1691&lt;&gt;"",$B1691,$O1690))</f>
        <v/>
      </c>
    </row>
    <row r="1692">
      <c r="N1692">
        <f>IF($A1692="","",IF(COUNTIFS($A$2:$A1692,$A1692,$C$2:$C1692,$C1692)=1,1,0))</f>
        <v/>
      </c>
      <c r="O1692">
        <f>IF($A1692="","",IF($B1692&lt;&gt;"",$B1692,$O1691))</f>
        <v/>
      </c>
    </row>
    <row r="1693">
      <c r="N1693">
        <f>IF($A1693="","",IF(COUNTIFS($A$2:$A1693,$A1693,$C$2:$C1693,$C1693)=1,1,0))</f>
        <v/>
      </c>
      <c r="O1693">
        <f>IF($A1693="","",IF($B1693&lt;&gt;"",$B1693,$O1692))</f>
        <v/>
      </c>
    </row>
    <row r="1694">
      <c r="N1694">
        <f>IF($A1694="","",IF(COUNTIFS($A$2:$A1694,$A1694,$C$2:$C1694,$C1694)=1,1,0))</f>
        <v/>
      </c>
      <c r="O1694">
        <f>IF($A1694="","",IF($B1694&lt;&gt;"",$B1694,$O1693))</f>
        <v/>
      </c>
    </row>
    <row r="1695">
      <c r="N1695">
        <f>IF($A1695="","",IF(COUNTIFS($A$2:$A1695,$A1695,$C$2:$C1695,$C1695)=1,1,0))</f>
        <v/>
      </c>
      <c r="O1695">
        <f>IF($A1695="","",IF($B1695&lt;&gt;"",$B1695,$O1694))</f>
        <v/>
      </c>
    </row>
    <row r="1696">
      <c r="N1696">
        <f>IF($A1696="","",IF(COUNTIFS($A$2:$A1696,$A1696,$C$2:$C1696,$C1696)=1,1,0))</f>
        <v/>
      </c>
      <c r="O1696">
        <f>IF($A1696="","",IF($B1696&lt;&gt;"",$B1696,$O1695))</f>
        <v/>
      </c>
    </row>
    <row r="1697">
      <c r="N1697">
        <f>IF($A1697="","",IF(COUNTIFS($A$2:$A1697,$A1697,$C$2:$C1697,$C1697)=1,1,0))</f>
        <v/>
      </c>
      <c r="O1697">
        <f>IF($A1697="","",IF($B1697&lt;&gt;"",$B1697,$O1696))</f>
        <v/>
      </c>
    </row>
    <row r="1698">
      <c r="N1698">
        <f>IF($A1698="","",IF(COUNTIFS($A$2:$A1698,$A1698,$C$2:$C1698,$C1698)=1,1,0))</f>
        <v/>
      </c>
      <c r="O1698">
        <f>IF($A1698="","",IF($B1698&lt;&gt;"",$B1698,$O1697))</f>
        <v/>
      </c>
    </row>
    <row r="1699">
      <c r="N1699">
        <f>IF($A1699="","",IF(COUNTIFS($A$2:$A1699,$A1699,$C$2:$C1699,$C1699)=1,1,0))</f>
        <v/>
      </c>
      <c r="O1699">
        <f>IF($A1699="","",IF($B1699&lt;&gt;"",$B1699,$O1698))</f>
        <v/>
      </c>
    </row>
    <row r="1700">
      <c r="N1700">
        <f>IF($A1700="","",IF(COUNTIFS($A$2:$A1700,$A1700,$C$2:$C1700,$C1700)=1,1,0))</f>
        <v/>
      </c>
      <c r="O1700">
        <f>IF($A1700="","",IF($B1700&lt;&gt;"",$B1700,$O1699))</f>
        <v/>
      </c>
    </row>
    <row r="1701">
      <c r="N1701">
        <f>IF($A1701="","",IF(COUNTIFS($A$2:$A1701,$A1701,$C$2:$C1701,$C1701)=1,1,0))</f>
        <v/>
      </c>
      <c r="O1701">
        <f>IF($A1701="","",IF($B1701&lt;&gt;"",$B1701,$O1700))</f>
        <v/>
      </c>
    </row>
    <row r="1702">
      <c r="N1702">
        <f>IF($A1702="","",IF(COUNTIFS($A$2:$A1702,$A1702,$C$2:$C1702,$C1702)=1,1,0))</f>
        <v/>
      </c>
      <c r="O1702">
        <f>IF($A1702="","",IF($B1702&lt;&gt;"",$B1702,$O1701))</f>
        <v/>
      </c>
    </row>
    <row r="1703">
      <c r="N1703">
        <f>IF($A1703="","",IF(COUNTIFS($A$2:$A1703,$A1703,$C$2:$C1703,$C1703)=1,1,0))</f>
        <v/>
      </c>
      <c r="O1703">
        <f>IF($A1703="","",IF($B1703&lt;&gt;"",$B1703,$O1702))</f>
        <v/>
      </c>
    </row>
    <row r="1704">
      <c r="N1704">
        <f>IF($A1704="","",IF(COUNTIFS($A$2:$A1704,$A1704,$C$2:$C1704,$C1704)=1,1,0))</f>
        <v/>
      </c>
      <c r="O1704">
        <f>IF($A1704="","",IF($B1704&lt;&gt;"",$B1704,$O1703))</f>
        <v/>
      </c>
    </row>
    <row r="1705">
      <c r="N1705">
        <f>IF($A1705="","",IF(COUNTIFS($A$2:$A1705,$A1705,$C$2:$C1705,$C1705)=1,1,0))</f>
        <v/>
      </c>
      <c r="O1705">
        <f>IF($A1705="","",IF($B1705&lt;&gt;"",$B1705,$O1704))</f>
        <v/>
      </c>
    </row>
    <row r="1706">
      <c r="N1706">
        <f>IF($A1706="","",IF(COUNTIFS($A$2:$A1706,$A1706,$C$2:$C1706,$C1706)=1,1,0))</f>
        <v/>
      </c>
      <c r="O1706">
        <f>IF($A1706="","",IF($B1706&lt;&gt;"",$B1706,$O1705))</f>
        <v/>
      </c>
    </row>
    <row r="1707">
      <c r="N1707">
        <f>IF($A1707="","",IF(COUNTIFS($A$2:$A1707,$A1707,$C$2:$C1707,$C1707)=1,1,0))</f>
        <v/>
      </c>
      <c r="O1707">
        <f>IF($A1707="","",IF($B1707&lt;&gt;"",$B1707,$O1706))</f>
        <v/>
      </c>
    </row>
    <row r="1708">
      <c r="N1708">
        <f>IF($A1708="","",IF(COUNTIFS($A$2:$A1708,$A1708,$C$2:$C1708,$C1708)=1,1,0))</f>
        <v/>
      </c>
      <c r="O1708">
        <f>IF($A1708="","",IF($B1708&lt;&gt;"",$B1708,$O1707))</f>
        <v/>
      </c>
    </row>
    <row r="1709">
      <c r="N1709">
        <f>IF($A1709="","",IF(COUNTIFS($A$2:$A1709,$A1709,$C$2:$C1709,$C1709)=1,1,0))</f>
        <v/>
      </c>
      <c r="O1709">
        <f>IF($A1709="","",IF($B1709&lt;&gt;"",$B1709,$O1708))</f>
        <v/>
      </c>
    </row>
    <row r="1710">
      <c r="N1710">
        <f>IF($A1710="","",IF(COUNTIFS($A$2:$A1710,$A1710,$C$2:$C1710,$C1710)=1,1,0))</f>
        <v/>
      </c>
      <c r="O1710">
        <f>IF($A1710="","",IF($B1710&lt;&gt;"",$B1710,$O1709))</f>
        <v/>
      </c>
    </row>
    <row r="1711">
      <c r="N1711">
        <f>IF($A1711="","",IF(COUNTIFS($A$2:$A1711,$A1711,$C$2:$C1711,$C1711)=1,1,0))</f>
        <v/>
      </c>
      <c r="O1711">
        <f>IF($A1711="","",IF($B1711&lt;&gt;"",$B1711,$O1710))</f>
        <v/>
      </c>
    </row>
    <row r="1712">
      <c r="N1712">
        <f>IF($A1712="","",IF(COUNTIFS($A$2:$A1712,$A1712,$C$2:$C1712,$C1712)=1,1,0))</f>
        <v/>
      </c>
      <c r="O1712">
        <f>IF($A1712="","",IF($B1712&lt;&gt;"",$B1712,$O1711))</f>
        <v/>
      </c>
    </row>
    <row r="1713">
      <c r="N1713">
        <f>IF($A1713="","",IF(COUNTIFS($A$2:$A1713,$A1713,$C$2:$C1713,$C1713)=1,1,0))</f>
        <v/>
      </c>
      <c r="O1713">
        <f>IF($A1713="","",IF($B1713&lt;&gt;"",$B1713,$O1712))</f>
        <v/>
      </c>
    </row>
    <row r="1714">
      <c r="N1714">
        <f>IF($A1714="","",IF(COUNTIFS($A$2:$A1714,$A1714,$C$2:$C1714,$C1714)=1,1,0))</f>
        <v/>
      </c>
      <c r="O1714">
        <f>IF($A1714="","",IF($B1714&lt;&gt;"",$B1714,$O1713))</f>
        <v/>
      </c>
    </row>
    <row r="1715">
      <c r="N1715">
        <f>IF($A1715="","",IF(COUNTIFS($A$2:$A1715,$A1715,$C$2:$C1715,$C1715)=1,1,0))</f>
        <v/>
      </c>
      <c r="O1715">
        <f>IF($A1715="","",IF($B1715&lt;&gt;"",$B1715,$O1714))</f>
        <v/>
      </c>
    </row>
    <row r="1716">
      <c r="N1716">
        <f>IF($A1716="","",IF(COUNTIFS($A$2:$A1716,$A1716,$C$2:$C1716,$C1716)=1,1,0))</f>
        <v/>
      </c>
      <c r="O1716">
        <f>IF($A1716="","",IF($B1716&lt;&gt;"",$B1716,$O1715))</f>
        <v/>
      </c>
    </row>
    <row r="1717">
      <c r="N1717">
        <f>IF($A1717="","",IF(COUNTIFS($A$2:$A1717,$A1717,$C$2:$C1717,$C1717)=1,1,0))</f>
        <v/>
      </c>
      <c r="O1717">
        <f>IF($A1717="","",IF($B1717&lt;&gt;"",$B1717,$O1716))</f>
        <v/>
      </c>
    </row>
    <row r="1718">
      <c r="N1718">
        <f>IF($A1718="","",IF(COUNTIFS($A$2:$A1718,$A1718,$C$2:$C1718,$C1718)=1,1,0))</f>
        <v/>
      </c>
      <c r="O1718">
        <f>IF($A1718="","",IF($B1718&lt;&gt;"",$B1718,$O1717))</f>
        <v/>
      </c>
    </row>
    <row r="1719">
      <c r="N1719">
        <f>IF($A1719="","",IF(COUNTIFS($A$2:$A1719,$A1719,$C$2:$C1719,$C1719)=1,1,0))</f>
        <v/>
      </c>
      <c r="O1719">
        <f>IF($A1719="","",IF($B1719&lt;&gt;"",$B1719,$O1718))</f>
        <v/>
      </c>
    </row>
    <row r="1720">
      <c r="N1720">
        <f>IF($A1720="","",IF(COUNTIFS($A$2:$A1720,$A1720,$C$2:$C1720,$C1720)=1,1,0))</f>
        <v/>
      </c>
      <c r="O1720">
        <f>IF($A1720="","",IF($B1720&lt;&gt;"",$B1720,$O1719))</f>
        <v/>
      </c>
    </row>
    <row r="1721">
      <c r="N1721">
        <f>IF($A1721="","",IF(COUNTIFS($A$2:$A1721,$A1721,$C$2:$C1721,$C1721)=1,1,0))</f>
        <v/>
      </c>
      <c r="O1721">
        <f>IF($A1721="","",IF($B1721&lt;&gt;"",$B1721,$O1720))</f>
        <v/>
      </c>
    </row>
    <row r="1722">
      <c r="N1722">
        <f>IF($A1722="","",IF(COUNTIFS($A$2:$A1722,$A1722,$C$2:$C1722,$C1722)=1,1,0))</f>
        <v/>
      </c>
      <c r="O1722">
        <f>IF($A1722="","",IF($B1722&lt;&gt;"",$B1722,$O1721))</f>
        <v/>
      </c>
    </row>
    <row r="1723">
      <c r="N1723">
        <f>IF($A1723="","",IF(COUNTIFS($A$2:$A1723,$A1723,$C$2:$C1723,$C1723)=1,1,0))</f>
        <v/>
      </c>
      <c r="O1723">
        <f>IF($A1723="","",IF($B1723&lt;&gt;"",$B1723,$O1722))</f>
        <v/>
      </c>
    </row>
    <row r="1724">
      <c r="N1724">
        <f>IF($A1724="","",IF(COUNTIFS($A$2:$A1724,$A1724,$C$2:$C1724,$C1724)=1,1,0))</f>
        <v/>
      </c>
      <c r="O1724">
        <f>IF($A1724="","",IF($B1724&lt;&gt;"",$B1724,$O1723))</f>
        <v/>
      </c>
    </row>
    <row r="1725">
      <c r="N1725">
        <f>IF($A1725="","",IF(COUNTIFS($A$2:$A1725,$A1725,$C$2:$C1725,$C1725)=1,1,0))</f>
        <v/>
      </c>
      <c r="O1725">
        <f>IF($A1725="","",IF($B1725&lt;&gt;"",$B1725,$O1724))</f>
        <v/>
      </c>
    </row>
    <row r="1726">
      <c r="N1726">
        <f>IF($A1726="","",IF(COUNTIFS($A$2:$A1726,$A1726,$C$2:$C1726,$C1726)=1,1,0))</f>
        <v/>
      </c>
      <c r="O1726">
        <f>IF($A1726="","",IF($B1726&lt;&gt;"",$B1726,$O1725))</f>
        <v/>
      </c>
    </row>
    <row r="1727">
      <c r="N1727">
        <f>IF($A1727="","",IF(COUNTIFS($A$2:$A1727,$A1727,$C$2:$C1727,$C1727)=1,1,0))</f>
        <v/>
      </c>
      <c r="O1727">
        <f>IF($A1727="","",IF($B1727&lt;&gt;"",$B1727,$O1726))</f>
        <v/>
      </c>
    </row>
    <row r="1728">
      <c r="N1728">
        <f>IF($A1728="","",IF(COUNTIFS($A$2:$A1728,$A1728,$C$2:$C1728,$C1728)=1,1,0))</f>
        <v/>
      </c>
      <c r="O1728">
        <f>IF($A1728="","",IF($B1728&lt;&gt;"",$B1728,$O1727))</f>
        <v/>
      </c>
    </row>
    <row r="1729">
      <c r="N1729">
        <f>IF($A1729="","",IF(COUNTIFS($A$2:$A1729,$A1729,$C$2:$C1729,$C1729)=1,1,0))</f>
        <v/>
      </c>
      <c r="O1729">
        <f>IF($A1729="","",IF($B1729&lt;&gt;"",$B1729,$O1728))</f>
        <v/>
      </c>
    </row>
    <row r="1730">
      <c r="N1730">
        <f>IF($A1730="","",IF(COUNTIFS($A$2:$A1730,$A1730,$C$2:$C1730,$C1730)=1,1,0))</f>
        <v/>
      </c>
      <c r="O1730">
        <f>IF($A1730="","",IF($B1730&lt;&gt;"",$B1730,$O1729))</f>
        <v/>
      </c>
    </row>
    <row r="1731">
      <c r="N1731">
        <f>IF($A1731="","",IF(COUNTIFS($A$2:$A1731,$A1731,$C$2:$C1731,$C1731)=1,1,0))</f>
        <v/>
      </c>
      <c r="O1731">
        <f>IF($A1731="","",IF($B1731&lt;&gt;"",$B1731,$O1730))</f>
        <v/>
      </c>
    </row>
    <row r="1732">
      <c r="N1732">
        <f>IF($A1732="","",IF(COUNTIFS($A$2:$A1732,$A1732,$C$2:$C1732,$C1732)=1,1,0))</f>
        <v/>
      </c>
      <c r="O1732">
        <f>IF($A1732="","",IF($B1732&lt;&gt;"",$B1732,$O1731))</f>
        <v/>
      </c>
    </row>
    <row r="1733">
      <c r="N1733">
        <f>IF($A1733="","",IF(COUNTIFS($A$2:$A1733,$A1733,$C$2:$C1733,$C1733)=1,1,0))</f>
        <v/>
      </c>
      <c r="O1733">
        <f>IF($A1733="","",IF($B1733&lt;&gt;"",$B1733,$O1732))</f>
        <v/>
      </c>
    </row>
    <row r="1734">
      <c r="N1734">
        <f>IF($A1734="","",IF(COUNTIFS($A$2:$A1734,$A1734,$C$2:$C1734,$C1734)=1,1,0))</f>
        <v/>
      </c>
      <c r="O1734">
        <f>IF($A1734="","",IF($B1734&lt;&gt;"",$B1734,$O1733))</f>
        <v/>
      </c>
    </row>
    <row r="1735">
      <c r="N1735">
        <f>IF($A1735="","",IF(COUNTIFS($A$2:$A1735,$A1735,$C$2:$C1735,$C1735)=1,1,0))</f>
        <v/>
      </c>
      <c r="O1735">
        <f>IF($A1735="","",IF($B1735&lt;&gt;"",$B1735,$O1734))</f>
        <v/>
      </c>
    </row>
    <row r="1736">
      <c r="N1736">
        <f>IF($A1736="","",IF(COUNTIFS($A$2:$A1736,$A1736,$C$2:$C1736,$C1736)=1,1,0))</f>
        <v/>
      </c>
      <c r="O1736">
        <f>IF($A1736="","",IF($B1736&lt;&gt;"",$B1736,$O1735))</f>
        <v/>
      </c>
    </row>
    <row r="1737">
      <c r="N1737">
        <f>IF($A1737="","",IF(COUNTIFS($A$2:$A1737,$A1737,$C$2:$C1737,$C1737)=1,1,0))</f>
        <v/>
      </c>
      <c r="O1737">
        <f>IF($A1737="","",IF($B1737&lt;&gt;"",$B1737,$O1736))</f>
        <v/>
      </c>
    </row>
    <row r="1738">
      <c r="N1738">
        <f>IF($A1738="","",IF(COUNTIFS($A$2:$A1738,$A1738,$C$2:$C1738,$C1738)=1,1,0))</f>
        <v/>
      </c>
      <c r="O1738">
        <f>IF($A1738="","",IF($B1738&lt;&gt;"",$B1738,$O1737))</f>
        <v/>
      </c>
    </row>
    <row r="1739">
      <c r="N1739">
        <f>IF($A1739="","",IF(COUNTIFS($A$2:$A1739,$A1739,$C$2:$C1739,$C1739)=1,1,0))</f>
        <v/>
      </c>
      <c r="O1739">
        <f>IF($A1739="","",IF($B1739&lt;&gt;"",$B1739,$O1738))</f>
        <v/>
      </c>
    </row>
    <row r="1740">
      <c r="N1740">
        <f>IF($A1740="","",IF(COUNTIFS($A$2:$A1740,$A1740,$C$2:$C1740,$C1740)=1,1,0))</f>
        <v/>
      </c>
      <c r="O1740">
        <f>IF($A1740="","",IF($B1740&lt;&gt;"",$B1740,$O1739))</f>
        <v/>
      </c>
    </row>
    <row r="1741">
      <c r="N1741">
        <f>IF($A1741="","",IF(COUNTIFS($A$2:$A1741,$A1741,$C$2:$C1741,$C1741)=1,1,0))</f>
        <v/>
      </c>
      <c r="O1741">
        <f>IF($A1741="","",IF($B1741&lt;&gt;"",$B1741,$O1740))</f>
        <v/>
      </c>
    </row>
    <row r="1742">
      <c r="N1742">
        <f>IF($A1742="","",IF(COUNTIFS($A$2:$A1742,$A1742,$C$2:$C1742,$C1742)=1,1,0))</f>
        <v/>
      </c>
      <c r="O1742">
        <f>IF($A1742="","",IF($B1742&lt;&gt;"",$B1742,$O1741))</f>
        <v/>
      </c>
    </row>
    <row r="1743">
      <c r="N1743">
        <f>IF($A1743="","",IF(COUNTIFS($A$2:$A1743,$A1743,$C$2:$C1743,$C1743)=1,1,0))</f>
        <v/>
      </c>
      <c r="O1743">
        <f>IF($A1743="","",IF($B1743&lt;&gt;"",$B1743,$O1742))</f>
        <v/>
      </c>
    </row>
    <row r="1744">
      <c r="N1744">
        <f>IF($A1744="","",IF(COUNTIFS($A$2:$A1744,$A1744,$C$2:$C1744,$C1744)=1,1,0))</f>
        <v/>
      </c>
      <c r="O1744">
        <f>IF($A1744="","",IF($B1744&lt;&gt;"",$B1744,$O1743))</f>
        <v/>
      </c>
    </row>
    <row r="1745">
      <c r="N1745">
        <f>IF($A1745="","",IF(COUNTIFS($A$2:$A1745,$A1745,$C$2:$C1745,$C1745)=1,1,0))</f>
        <v/>
      </c>
      <c r="O1745">
        <f>IF($A1745="","",IF($B1745&lt;&gt;"",$B1745,$O1744))</f>
        <v/>
      </c>
    </row>
    <row r="1746">
      <c r="N1746">
        <f>IF($A1746="","",IF(COUNTIFS($A$2:$A1746,$A1746,$C$2:$C1746,$C1746)=1,1,0))</f>
        <v/>
      </c>
      <c r="O1746">
        <f>IF($A1746="","",IF($B1746&lt;&gt;"",$B1746,$O1745))</f>
        <v/>
      </c>
    </row>
    <row r="1747">
      <c r="N1747">
        <f>IF($A1747="","",IF(COUNTIFS($A$2:$A1747,$A1747,$C$2:$C1747,$C1747)=1,1,0))</f>
        <v/>
      </c>
      <c r="O1747">
        <f>IF($A1747="","",IF($B1747&lt;&gt;"",$B1747,$O1746))</f>
        <v/>
      </c>
    </row>
    <row r="1748">
      <c r="N1748">
        <f>IF($A1748="","",IF(COUNTIFS($A$2:$A1748,$A1748,$C$2:$C1748,$C1748)=1,1,0))</f>
        <v/>
      </c>
      <c r="O1748">
        <f>IF($A1748="","",IF($B1748&lt;&gt;"",$B1748,$O1747))</f>
        <v/>
      </c>
    </row>
    <row r="1749">
      <c r="N1749">
        <f>IF($A1749="","",IF(COUNTIFS($A$2:$A1749,$A1749,$C$2:$C1749,$C1749)=1,1,0))</f>
        <v/>
      </c>
      <c r="O1749">
        <f>IF($A1749="","",IF($B1749&lt;&gt;"",$B1749,$O1748))</f>
        <v/>
      </c>
    </row>
    <row r="1750">
      <c r="N1750">
        <f>IF($A1750="","",IF(COUNTIFS($A$2:$A1750,$A1750,$C$2:$C1750,$C1750)=1,1,0))</f>
        <v/>
      </c>
      <c r="O1750">
        <f>IF($A1750="","",IF($B1750&lt;&gt;"",$B1750,$O1749))</f>
        <v/>
      </c>
    </row>
    <row r="1751">
      <c r="N1751">
        <f>IF($A1751="","",IF(COUNTIFS($A$2:$A1751,$A1751,$C$2:$C1751,$C1751)=1,1,0))</f>
        <v/>
      </c>
      <c r="O1751">
        <f>IF($A1751="","",IF($B1751&lt;&gt;"",$B1751,$O1750))</f>
        <v/>
      </c>
    </row>
    <row r="1752">
      <c r="N1752">
        <f>IF($A1752="","",IF(COUNTIFS($A$2:$A1752,$A1752,$C$2:$C1752,$C1752)=1,1,0))</f>
        <v/>
      </c>
      <c r="O1752">
        <f>IF($A1752="","",IF($B1752&lt;&gt;"",$B1752,$O1751))</f>
        <v/>
      </c>
    </row>
    <row r="1753">
      <c r="N1753">
        <f>IF($A1753="","",IF(COUNTIFS($A$2:$A1753,$A1753,$C$2:$C1753,$C1753)=1,1,0))</f>
        <v/>
      </c>
      <c r="O1753">
        <f>IF($A1753="","",IF($B1753&lt;&gt;"",$B1753,$O1752))</f>
        <v/>
      </c>
    </row>
    <row r="1754">
      <c r="N1754">
        <f>IF($A1754="","",IF(COUNTIFS($A$2:$A1754,$A1754,$C$2:$C1754,$C1754)=1,1,0))</f>
        <v/>
      </c>
      <c r="O1754">
        <f>IF($A1754="","",IF($B1754&lt;&gt;"",$B1754,$O1753))</f>
        <v/>
      </c>
    </row>
    <row r="1755">
      <c r="N1755">
        <f>IF($A1755="","",IF(COUNTIFS($A$2:$A1755,$A1755,$C$2:$C1755,$C1755)=1,1,0))</f>
        <v/>
      </c>
      <c r="O1755">
        <f>IF($A1755="","",IF($B1755&lt;&gt;"",$B1755,$O1754))</f>
        <v/>
      </c>
    </row>
    <row r="1756">
      <c r="N1756">
        <f>IF($A1756="","",IF(COUNTIFS($A$2:$A1756,$A1756,$C$2:$C1756,$C1756)=1,1,0))</f>
        <v/>
      </c>
      <c r="O1756">
        <f>IF($A1756="","",IF($B1756&lt;&gt;"",$B1756,$O1755))</f>
        <v/>
      </c>
    </row>
    <row r="1757">
      <c r="N1757">
        <f>IF($A1757="","",IF(COUNTIFS($A$2:$A1757,$A1757,$C$2:$C1757,$C1757)=1,1,0))</f>
        <v/>
      </c>
      <c r="O1757">
        <f>IF($A1757="","",IF($B1757&lt;&gt;"",$B1757,$O1756))</f>
        <v/>
      </c>
    </row>
    <row r="1758">
      <c r="N1758">
        <f>IF($A1758="","",IF(COUNTIFS($A$2:$A1758,$A1758,$C$2:$C1758,$C1758)=1,1,0))</f>
        <v/>
      </c>
      <c r="O1758">
        <f>IF($A1758="","",IF($B1758&lt;&gt;"",$B1758,$O1757))</f>
        <v/>
      </c>
    </row>
    <row r="1759">
      <c r="N1759">
        <f>IF($A1759="","",IF(COUNTIFS($A$2:$A1759,$A1759,$C$2:$C1759,$C1759)=1,1,0))</f>
        <v/>
      </c>
      <c r="O1759">
        <f>IF($A1759="","",IF($B1759&lt;&gt;"",$B1759,$O1758))</f>
        <v/>
      </c>
    </row>
    <row r="1760">
      <c r="N1760">
        <f>IF($A1760="","",IF(COUNTIFS($A$2:$A1760,$A1760,$C$2:$C1760,$C1760)=1,1,0))</f>
        <v/>
      </c>
      <c r="O1760">
        <f>IF($A1760="","",IF($B1760&lt;&gt;"",$B1760,$O1759))</f>
        <v/>
      </c>
    </row>
    <row r="1761">
      <c r="N1761">
        <f>IF($A1761="","",IF(COUNTIFS($A$2:$A1761,$A1761,$C$2:$C1761,$C1761)=1,1,0))</f>
        <v/>
      </c>
      <c r="O1761">
        <f>IF($A1761="","",IF($B1761&lt;&gt;"",$B1761,$O1760))</f>
        <v/>
      </c>
    </row>
    <row r="1762">
      <c r="N1762">
        <f>IF($A1762="","",IF(COUNTIFS($A$2:$A1762,$A1762,$C$2:$C1762,$C1762)=1,1,0))</f>
        <v/>
      </c>
      <c r="O1762">
        <f>IF($A1762="","",IF($B1762&lt;&gt;"",$B1762,$O1761))</f>
        <v/>
      </c>
    </row>
    <row r="1763">
      <c r="N1763">
        <f>IF($A1763="","",IF(COUNTIFS($A$2:$A1763,$A1763,$C$2:$C1763,$C1763)=1,1,0))</f>
        <v/>
      </c>
      <c r="O1763">
        <f>IF($A1763="","",IF($B1763&lt;&gt;"",$B1763,$O1762))</f>
        <v/>
      </c>
    </row>
    <row r="1764">
      <c r="N1764">
        <f>IF($A1764="","",IF(COUNTIFS($A$2:$A1764,$A1764,$C$2:$C1764,$C1764)=1,1,0))</f>
        <v/>
      </c>
      <c r="O1764">
        <f>IF($A1764="","",IF($B1764&lt;&gt;"",$B1764,$O1763))</f>
        <v/>
      </c>
    </row>
    <row r="1765">
      <c r="N1765">
        <f>IF($A1765="","",IF(COUNTIFS($A$2:$A1765,$A1765,$C$2:$C1765,$C1765)=1,1,0))</f>
        <v/>
      </c>
      <c r="O1765">
        <f>IF($A1765="","",IF($B1765&lt;&gt;"",$B1765,$O1764))</f>
        <v/>
      </c>
    </row>
    <row r="1766">
      <c r="N1766">
        <f>IF($A1766="","",IF(COUNTIFS($A$2:$A1766,$A1766,$C$2:$C1766,$C1766)=1,1,0))</f>
        <v/>
      </c>
      <c r="O1766">
        <f>IF($A1766="","",IF($B1766&lt;&gt;"",$B1766,$O1765))</f>
        <v/>
      </c>
    </row>
    <row r="1767">
      <c r="N1767">
        <f>IF($A1767="","",IF(COUNTIFS($A$2:$A1767,$A1767,$C$2:$C1767,$C1767)=1,1,0))</f>
        <v/>
      </c>
      <c r="O1767">
        <f>IF($A1767="","",IF($B1767&lt;&gt;"",$B1767,$O1766))</f>
        <v/>
      </c>
    </row>
    <row r="1768">
      <c r="N1768">
        <f>IF($A1768="","",IF(COUNTIFS($A$2:$A1768,$A1768,$C$2:$C1768,$C1768)=1,1,0))</f>
        <v/>
      </c>
      <c r="O1768">
        <f>IF($A1768="","",IF($B1768&lt;&gt;"",$B1768,$O1767))</f>
        <v/>
      </c>
    </row>
    <row r="1769">
      <c r="N1769">
        <f>IF($A1769="","",IF(COUNTIFS($A$2:$A1769,$A1769,$C$2:$C1769,$C1769)=1,1,0))</f>
        <v/>
      </c>
      <c r="O1769">
        <f>IF($A1769="","",IF($B1769&lt;&gt;"",$B1769,$O1768))</f>
        <v/>
      </c>
    </row>
    <row r="1770">
      <c r="N1770">
        <f>IF($A1770="","",IF(COUNTIFS($A$2:$A1770,$A1770,$C$2:$C1770,$C1770)=1,1,0))</f>
        <v/>
      </c>
      <c r="O1770">
        <f>IF($A1770="","",IF($B1770&lt;&gt;"",$B1770,$O1769))</f>
        <v/>
      </c>
    </row>
    <row r="1771">
      <c r="N1771">
        <f>IF($A1771="","",IF(COUNTIFS($A$2:$A1771,$A1771,$C$2:$C1771,$C1771)=1,1,0))</f>
        <v/>
      </c>
      <c r="O1771">
        <f>IF($A1771="","",IF($B1771&lt;&gt;"",$B1771,$O1770))</f>
        <v/>
      </c>
    </row>
    <row r="1772">
      <c r="N1772">
        <f>IF($A1772="","",IF(COUNTIFS($A$2:$A1772,$A1772,$C$2:$C1772,$C1772)=1,1,0))</f>
        <v/>
      </c>
      <c r="O1772">
        <f>IF($A1772="","",IF($B1772&lt;&gt;"",$B1772,$O1771))</f>
        <v/>
      </c>
    </row>
    <row r="1773">
      <c r="N1773">
        <f>IF($A1773="","",IF(COUNTIFS($A$2:$A1773,$A1773,$C$2:$C1773,$C1773)=1,1,0))</f>
        <v/>
      </c>
      <c r="O1773">
        <f>IF($A1773="","",IF($B1773&lt;&gt;"",$B1773,$O1772))</f>
        <v/>
      </c>
    </row>
    <row r="1774">
      <c r="N1774">
        <f>IF($A1774="","",IF(COUNTIFS($A$2:$A1774,$A1774,$C$2:$C1774,$C1774)=1,1,0))</f>
        <v/>
      </c>
      <c r="O1774">
        <f>IF($A1774="","",IF($B1774&lt;&gt;"",$B1774,$O1773))</f>
        <v/>
      </c>
    </row>
    <row r="1775">
      <c r="N1775">
        <f>IF($A1775="","",IF(COUNTIFS($A$2:$A1775,$A1775,$C$2:$C1775,$C1775)=1,1,0))</f>
        <v/>
      </c>
      <c r="O1775">
        <f>IF($A1775="","",IF($B1775&lt;&gt;"",$B1775,$O1774))</f>
        <v/>
      </c>
    </row>
    <row r="1776">
      <c r="N1776">
        <f>IF($A1776="","",IF(COUNTIFS($A$2:$A1776,$A1776,$C$2:$C1776,$C1776)=1,1,0))</f>
        <v/>
      </c>
      <c r="O1776">
        <f>IF($A1776="","",IF($B1776&lt;&gt;"",$B1776,$O1775))</f>
        <v/>
      </c>
    </row>
    <row r="1777">
      <c r="N1777">
        <f>IF($A1777="","",IF(COUNTIFS($A$2:$A1777,$A1777,$C$2:$C1777,$C1777)=1,1,0))</f>
        <v/>
      </c>
      <c r="O1777">
        <f>IF($A1777="","",IF($B1777&lt;&gt;"",$B1777,$O1776))</f>
        <v/>
      </c>
    </row>
    <row r="1778">
      <c r="N1778">
        <f>IF($A1778="","",IF(COUNTIFS($A$2:$A1778,$A1778,$C$2:$C1778,$C1778)=1,1,0))</f>
        <v/>
      </c>
      <c r="O1778">
        <f>IF($A1778="","",IF($B1778&lt;&gt;"",$B1778,$O1777))</f>
        <v/>
      </c>
    </row>
    <row r="1779">
      <c r="N1779">
        <f>IF($A1779="","",IF(COUNTIFS($A$2:$A1779,$A1779,$C$2:$C1779,$C1779)=1,1,0))</f>
        <v/>
      </c>
      <c r="O1779">
        <f>IF($A1779="","",IF($B1779&lt;&gt;"",$B1779,$O1778))</f>
        <v/>
      </c>
    </row>
    <row r="1780">
      <c r="N1780">
        <f>IF($A1780="","",IF(COUNTIFS($A$2:$A1780,$A1780,$C$2:$C1780,$C1780)=1,1,0))</f>
        <v/>
      </c>
      <c r="O1780">
        <f>IF($A1780="","",IF($B1780&lt;&gt;"",$B1780,$O1779))</f>
        <v/>
      </c>
    </row>
    <row r="1781">
      <c r="N1781">
        <f>IF($A1781="","",IF(COUNTIFS($A$2:$A1781,$A1781,$C$2:$C1781,$C1781)=1,1,0))</f>
        <v/>
      </c>
      <c r="O1781">
        <f>IF($A1781="","",IF($B1781&lt;&gt;"",$B1781,$O1780))</f>
        <v/>
      </c>
    </row>
    <row r="1782">
      <c r="N1782">
        <f>IF($A1782="","",IF(COUNTIFS($A$2:$A1782,$A1782,$C$2:$C1782,$C1782)=1,1,0))</f>
        <v/>
      </c>
      <c r="O1782">
        <f>IF($A1782="","",IF($B1782&lt;&gt;"",$B1782,$O1781))</f>
        <v/>
      </c>
    </row>
    <row r="1783">
      <c r="N1783">
        <f>IF($A1783="","",IF(COUNTIFS($A$2:$A1783,$A1783,$C$2:$C1783,$C1783)=1,1,0))</f>
        <v/>
      </c>
      <c r="O1783">
        <f>IF($A1783="","",IF($B1783&lt;&gt;"",$B1783,$O1782))</f>
        <v/>
      </c>
    </row>
    <row r="1784">
      <c r="N1784">
        <f>IF($A1784="","",IF(COUNTIFS($A$2:$A1784,$A1784,$C$2:$C1784,$C1784)=1,1,0))</f>
        <v/>
      </c>
      <c r="O1784">
        <f>IF($A1784="","",IF($B1784&lt;&gt;"",$B1784,$O1783))</f>
        <v/>
      </c>
    </row>
    <row r="1785">
      <c r="N1785">
        <f>IF($A1785="","",IF(COUNTIFS($A$2:$A1785,$A1785,$C$2:$C1785,$C1785)=1,1,0))</f>
        <v/>
      </c>
      <c r="O1785">
        <f>IF($A1785="","",IF($B1785&lt;&gt;"",$B1785,$O1784))</f>
        <v/>
      </c>
    </row>
    <row r="1786">
      <c r="N1786">
        <f>IF($A1786="","",IF(COUNTIFS($A$2:$A1786,$A1786,$C$2:$C1786,$C1786)=1,1,0))</f>
        <v/>
      </c>
      <c r="O1786">
        <f>IF($A1786="","",IF($B1786&lt;&gt;"",$B1786,$O1785))</f>
        <v/>
      </c>
    </row>
    <row r="1787">
      <c r="N1787">
        <f>IF($A1787="","",IF(COUNTIFS($A$2:$A1787,$A1787,$C$2:$C1787,$C1787)=1,1,0))</f>
        <v/>
      </c>
      <c r="O1787">
        <f>IF($A1787="","",IF($B1787&lt;&gt;"",$B1787,$O1786))</f>
        <v/>
      </c>
    </row>
    <row r="1788">
      <c r="N1788">
        <f>IF($A1788="","",IF(COUNTIFS($A$2:$A1788,$A1788,$C$2:$C1788,$C1788)=1,1,0))</f>
        <v/>
      </c>
      <c r="O1788">
        <f>IF($A1788="","",IF($B1788&lt;&gt;"",$B1788,$O1787))</f>
        <v/>
      </c>
    </row>
    <row r="1789">
      <c r="N1789">
        <f>IF($A1789="","",IF(COUNTIFS($A$2:$A1789,$A1789,$C$2:$C1789,$C1789)=1,1,0))</f>
        <v/>
      </c>
      <c r="O1789">
        <f>IF($A1789="","",IF($B1789&lt;&gt;"",$B1789,$O1788))</f>
        <v/>
      </c>
    </row>
    <row r="1790">
      <c r="N1790">
        <f>IF($A1790="","",IF(COUNTIFS($A$2:$A1790,$A1790,$C$2:$C1790,$C1790)=1,1,0))</f>
        <v/>
      </c>
      <c r="O1790">
        <f>IF($A1790="","",IF($B1790&lt;&gt;"",$B1790,$O1789))</f>
        <v/>
      </c>
    </row>
    <row r="1791">
      <c r="N1791">
        <f>IF($A1791="","",IF(COUNTIFS($A$2:$A1791,$A1791,$C$2:$C1791,$C1791)=1,1,0))</f>
        <v/>
      </c>
      <c r="O1791">
        <f>IF($A1791="","",IF($B1791&lt;&gt;"",$B1791,$O1790))</f>
        <v/>
      </c>
    </row>
    <row r="1792">
      <c r="N1792">
        <f>IF($A1792="","",IF(COUNTIFS($A$2:$A1792,$A1792,$C$2:$C1792,$C1792)=1,1,0))</f>
        <v/>
      </c>
      <c r="O1792">
        <f>IF($A1792="","",IF($B1792&lt;&gt;"",$B1792,$O1791))</f>
        <v/>
      </c>
    </row>
    <row r="1793">
      <c r="N1793">
        <f>IF($A1793="","",IF(COUNTIFS($A$2:$A1793,$A1793,$C$2:$C1793,$C1793)=1,1,0))</f>
        <v/>
      </c>
      <c r="O1793">
        <f>IF($A1793="","",IF($B1793&lt;&gt;"",$B1793,$O1792))</f>
        <v/>
      </c>
    </row>
    <row r="1794">
      <c r="N1794">
        <f>IF($A1794="","",IF(COUNTIFS($A$2:$A1794,$A1794,$C$2:$C1794,$C1794)=1,1,0))</f>
        <v/>
      </c>
      <c r="O1794">
        <f>IF($A1794="","",IF($B1794&lt;&gt;"",$B1794,$O1793))</f>
        <v/>
      </c>
    </row>
    <row r="1795">
      <c r="N1795">
        <f>IF($A1795="","",IF(COUNTIFS($A$2:$A1795,$A1795,$C$2:$C1795,$C1795)=1,1,0))</f>
        <v/>
      </c>
      <c r="O1795">
        <f>IF($A1795="","",IF($B1795&lt;&gt;"",$B1795,$O1794))</f>
        <v/>
      </c>
    </row>
    <row r="1796">
      <c r="N1796">
        <f>IF($A1796="","",IF(COUNTIFS($A$2:$A1796,$A1796,$C$2:$C1796,$C1796)=1,1,0))</f>
        <v/>
      </c>
      <c r="O1796">
        <f>IF($A1796="","",IF($B1796&lt;&gt;"",$B1796,$O1795))</f>
        <v/>
      </c>
    </row>
    <row r="1797">
      <c r="N1797">
        <f>IF($A1797="","",IF(COUNTIFS($A$2:$A1797,$A1797,$C$2:$C1797,$C1797)=1,1,0))</f>
        <v/>
      </c>
      <c r="O1797">
        <f>IF($A1797="","",IF($B1797&lt;&gt;"",$B1797,$O1796))</f>
        <v/>
      </c>
    </row>
    <row r="1798">
      <c r="N1798">
        <f>IF($A1798="","",IF(COUNTIFS($A$2:$A1798,$A1798,$C$2:$C1798,$C1798)=1,1,0))</f>
        <v/>
      </c>
      <c r="O1798">
        <f>IF($A1798="","",IF($B1798&lt;&gt;"",$B1798,$O1797))</f>
        <v/>
      </c>
    </row>
    <row r="1799">
      <c r="N1799">
        <f>IF($A1799="","",IF(COUNTIFS($A$2:$A1799,$A1799,$C$2:$C1799,$C1799)=1,1,0))</f>
        <v/>
      </c>
      <c r="O1799">
        <f>IF($A1799="","",IF($B1799&lt;&gt;"",$B1799,$O1798))</f>
        <v/>
      </c>
    </row>
    <row r="1800">
      <c r="N1800">
        <f>IF($A1800="","",IF(COUNTIFS($A$2:$A1800,$A1800,$C$2:$C1800,$C1800)=1,1,0))</f>
        <v/>
      </c>
      <c r="O1800">
        <f>IF($A1800="","",IF($B1800&lt;&gt;"",$B1800,$O1799))</f>
        <v/>
      </c>
    </row>
    <row r="1801">
      <c r="N1801">
        <f>IF($A1801="","",IF(COUNTIFS($A$2:$A1801,$A1801,$C$2:$C1801,$C1801)=1,1,0))</f>
        <v/>
      </c>
      <c r="O1801">
        <f>IF($A1801="","",IF($B1801&lt;&gt;"",$B1801,$O1800))</f>
        <v/>
      </c>
    </row>
    <row r="1802">
      <c r="N1802">
        <f>IF($A1802="","",IF(COUNTIFS($A$2:$A1802,$A1802,$C$2:$C1802,$C1802)=1,1,0))</f>
        <v/>
      </c>
      <c r="O1802">
        <f>IF($A1802="","",IF($B1802&lt;&gt;"",$B1802,$O1801))</f>
        <v/>
      </c>
    </row>
    <row r="1803">
      <c r="N1803">
        <f>IF($A1803="","",IF(COUNTIFS($A$2:$A1803,$A1803,$C$2:$C1803,$C1803)=1,1,0))</f>
        <v/>
      </c>
      <c r="O1803">
        <f>IF($A1803="","",IF($B1803&lt;&gt;"",$B1803,$O1802))</f>
        <v/>
      </c>
    </row>
    <row r="1804">
      <c r="N1804">
        <f>IF($A1804="","",IF(COUNTIFS($A$2:$A1804,$A1804,$C$2:$C1804,$C1804)=1,1,0))</f>
        <v/>
      </c>
      <c r="O1804">
        <f>IF($A1804="","",IF($B1804&lt;&gt;"",$B1804,$O1803))</f>
        <v/>
      </c>
    </row>
    <row r="1805">
      <c r="N1805">
        <f>IF($A1805="","",IF(COUNTIFS($A$2:$A1805,$A1805,$C$2:$C1805,$C1805)=1,1,0))</f>
        <v/>
      </c>
      <c r="O1805">
        <f>IF($A1805="","",IF($B1805&lt;&gt;"",$B1805,$O1804))</f>
        <v/>
      </c>
    </row>
    <row r="1806">
      <c r="N1806">
        <f>IF($A1806="","",IF(COUNTIFS($A$2:$A1806,$A1806,$C$2:$C1806,$C1806)=1,1,0))</f>
        <v/>
      </c>
      <c r="O1806">
        <f>IF($A1806="","",IF($B1806&lt;&gt;"",$B1806,$O1805))</f>
        <v/>
      </c>
    </row>
    <row r="1807">
      <c r="N1807">
        <f>IF($A1807="","",IF(COUNTIFS($A$2:$A1807,$A1807,$C$2:$C1807,$C1807)=1,1,0))</f>
        <v/>
      </c>
      <c r="O1807">
        <f>IF($A1807="","",IF($B1807&lt;&gt;"",$B1807,$O1806))</f>
        <v/>
      </c>
    </row>
    <row r="1808">
      <c r="N1808">
        <f>IF($A1808="","",IF(COUNTIFS($A$2:$A1808,$A1808,$C$2:$C1808,$C1808)=1,1,0))</f>
        <v/>
      </c>
      <c r="O1808">
        <f>IF($A1808="","",IF($B1808&lt;&gt;"",$B1808,$O1807))</f>
        <v/>
      </c>
    </row>
    <row r="1809">
      <c r="N1809">
        <f>IF($A1809="","",IF(COUNTIFS($A$2:$A1809,$A1809,$C$2:$C1809,$C1809)=1,1,0))</f>
        <v/>
      </c>
      <c r="O1809">
        <f>IF($A1809="","",IF($B1809&lt;&gt;"",$B1809,$O1808))</f>
        <v/>
      </c>
    </row>
    <row r="1810">
      <c r="N1810">
        <f>IF($A1810="","",IF(COUNTIFS($A$2:$A1810,$A1810,$C$2:$C1810,$C1810)=1,1,0))</f>
        <v/>
      </c>
      <c r="O1810">
        <f>IF($A1810="","",IF($B1810&lt;&gt;"",$B1810,$O1809))</f>
        <v/>
      </c>
    </row>
    <row r="1811">
      <c r="N1811">
        <f>IF($A1811="","",IF(COUNTIFS($A$2:$A1811,$A1811,$C$2:$C1811,$C1811)=1,1,0))</f>
        <v/>
      </c>
      <c r="O1811">
        <f>IF($A1811="","",IF($B1811&lt;&gt;"",$B1811,$O1810))</f>
        <v/>
      </c>
    </row>
    <row r="1812">
      <c r="N1812">
        <f>IF($A1812="","",IF(COUNTIFS($A$2:$A1812,$A1812,$C$2:$C1812,$C1812)=1,1,0))</f>
        <v/>
      </c>
      <c r="O1812">
        <f>IF($A1812="","",IF($B1812&lt;&gt;"",$B1812,$O1811))</f>
        <v/>
      </c>
    </row>
    <row r="1813">
      <c r="N1813">
        <f>IF($A1813="","",IF(COUNTIFS($A$2:$A1813,$A1813,$C$2:$C1813,$C1813)=1,1,0))</f>
        <v/>
      </c>
      <c r="O1813">
        <f>IF($A1813="","",IF($B1813&lt;&gt;"",$B1813,$O1812))</f>
        <v/>
      </c>
    </row>
    <row r="1814">
      <c r="N1814">
        <f>IF($A1814="","",IF(COUNTIFS($A$2:$A1814,$A1814,$C$2:$C1814,$C1814)=1,1,0))</f>
        <v/>
      </c>
      <c r="O1814">
        <f>IF($A1814="","",IF($B1814&lt;&gt;"",$B1814,$O1813))</f>
        <v/>
      </c>
    </row>
    <row r="1815">
      <c r="N1815">
        <f>IF($A1815="","",IF(COUNTIFS($A$2:$A1815,$A1815,$C$2:$C1815,$C1815)=1,1,0))</f>
        <v/>
      </c>
      <c r="O1815">
        <f>IF($A1815="","",IF($B1815&lt;&gt;"",$B1815,$O1814))</f>
        <v/>
      </c>
    </row>
    <row r="1816">
      <c r="N1816">
        <f>IF($A1816="","",IF(COUNTIFS($A$2:$A1816,$A1816,$C$2:$C1816,$C1816)=1,1,0))</f>
        <v/>
      </c>
      <c r="O1816">
        <f>IF($A1816="","",IF($B1816&lt;&gt;"",$B1816,$O1815))</f>
        <v/>
      </c>
    </row>
    <row r="1817">
      <c r="N1817">
        <f>IF($A1817="","",IF(COUNTIFS($A$2:$A1817,$A1817,$C$2:$C1817,$C1817)=1,1,0))</f>
        <v/>
      </c>
      <c r="O1817">
        <f>IF($A1817="","",IF($B1817&lt;&gt;"",$B1817,$O1816))</f>
        <v/>
      </c>
    </row>
    <row r="1818">
      <c r="N1818">
        <f>IF($A1818="","",IF(COUNTIFS($A$2:$A1818,$A1818,$C$2:$C1818,$C1818)=1,1,0))</f>
        <v/>
      </c>
      <c r="O1818">
        <f>IF($A1818="","",IF($B1818&lt;&gt;"",$B1818,$O1817))</f>
        <v/>
      </c>
    </row>
    <row r="1819">
      <c r="N1819">
        <f>IF($A1819="","",IF(COUNTIFS($A$2:$A1819,$A1819,$C$2:$C1819,$C1819)=1,1,0))</f>
        <v/>
      </c>
      <c r="O1819">
        <f>IF($A1819="","",IF($B1819&lt;&gt;"",$B1819,$O1818))</f>
        <v/>
      </c>
    </row>
    <row r="1820">
      <c r="N1820">
        <f>IF($A1820="","",IF(COUNTIFS($A$2:$A1820,$A1820,$C$2:$C1820,$C1820)=1,1,0))</f>
        <v/>
      </c>
      <c r="O1820">
        <f>IF($A1820="","",IF($B1820&lt;&gt;"",$B1820,$O1819))</f>
        <v/>
      </c>
    </row>
    <row r="1821">
      <c r="N1821">
        <f>IF($A1821="","",IF(COUNTIFS($A$2:$A1821,$A1821,$C$2:$C1821,$C1821)=1,1,0))</f>
        <v/>
      </c>
      <c r="O1821">
        <f>IF($A1821="","",IF($B1821&lt;&gt;"",$B1821,$O1820))</f>
        <v/>
      </c>
    </row>
    <row r="1822">
      <c r="N1822">
        <f>IF($A1822="","",IF(COUNTIFS($A$2:$A1822,$A1822,$C$2:$C1822,$C1822)=1,1,0))</f>
        <v/>
      </c>
      <c r="O1822">
        <f>IF($A1822="","",IF($B1822&lt;&gt;"",$B1822,$O1821))</f>
        <v/>
      </c>
    </row>
    <row r="1823">
      <c r="N1823">
        <f>IF($A1823="","",IF(COUNTIFS($A$2:$A1823,$A1823,$C$2:$C1823,$C1823)=1,1,0))</f>
        <v/>
      </c>
      <c r="O1823">
        <f>IF($A1823="","",IF($B1823&lt;&gt;"",$B1823,$O1822))</f>
        <v/>
      </c>
    </row>
    <row r="1824">
      <c r="N1824">
        <f>IF($A1824="","",IF(COUNTIFS($A$2:$A1824,$A1824,$C$2:$C1824,$C1824)=1,1,0))</f>
        <v/>
      </c>
      <c r="O1824">
        <f>IF($A1824="","",IF($B1824&lt;&gt;"",$B1824,$O1823))</f>
        <v/>
      </c>
    </row>
    <row r="1825">
      <c r="N1825">
        <f>IF($A1825="","",IF(COUNTIFS($A$2:$A1825,$A1825,$C$2:$C1825,$C1825)=1,1,0))</f>
        <v/>
      </c>
      <c r="O1825">
        <f>IF($A1825="","",IF($B1825&lt;&gt;"",$B1825,$O1824))</f>
        <v/>
      </c>
    </row>
    <row r="1826">
      <c r="N1826">
        <f>IF($A1826="","",IF(COUNTIFS($A$2:$A1826,$A1826,$C$2:$C1826,$C1826)=1,1,0))</f>
        <v/>
      </c>
      <c r="O1826">
        <f>IF($A1826="","",IF($B1826&lt;&gt;"",$B1826,$O1825))</f>
        <v/>
      </c>
    </row>
    <row r="1827">
      <c r="N1827">
        <f>IF($A1827="","",IF(COUNTIFS($A$2:$A1827,$A1827,$C$2:$C1827,$C1827)=1,1,0))</f>
        <v/>
      </c>
      <c r="O1827">
        <f>IF($A1827="","",IF($B1827&lt;&gt;"",$B1827,$O1826))</f>
        <v/>
      </c>
    </row>
    <row r="1828">
      <c r="N1828">
        <f>IF($A1828="","",IF(COUNTIFS($A$2:$A1828,$A1828,$C$2:$C1828,$C1828)=1,1,0))</f>
        <v/>
      </c>
      <c r="O1828">
        <f>IF($A1828="","",IF($B1828&lt;&gt;"",$B1828,$O1827))</f>
        <v/>
      </c>
    </row>
    <row r="1829">
      <c r="N1829">
        <f>IF($A1829="","",IF(COUNTIFS($A$2:$A1829,$A1829,$C$2:$C1829,$C1829)=1,1,0))</f>
        <v/>
      </c>
      <c r="O1829">
        <f>IF($A1829="","",IF($B1829&lt;&gt;"",$B1829,$O1828))</f>
        <v/>
      </c>
    </row>
    <row r="1830">
      <c r="N1830">
        <f>IF($A1830="","",IF(COUNTIFS($A$2:$A1830,$A1830,$C$2:$C1830,$C1830)=1,1,0))</f>
        <v/>
      </c>
      <c r="O1830">
        <f>IF($A1830="","",IF($B1830&lt;&gt;"",$B1830,$O1829))</f>
        <v/>
      </c>
    </row>
    <row r="1831">
      <c r="N1831">
        <f>IF($A1831="","",IF(COUNTIFS($A$2:$A1831,$A1831,$C$2:$C1831,$C1831)=1,1,0))</f>
        <v/>
      </c>
      <c r="O1831">
        <f>IF($A1831="","",IF($B1831&lt;&gt;"",$B1831,$O1830))</f>
        <v/>
      </c>
    </row>
    <row r="1832">
      <c r="N1832">
        <f>IF($A1832="","",IF(COUNTIFS($A$2:$A1832,$A1832,$C$2:$C1832,$C1832)=1,1,0))</f>
        <v/>
      </c>
      <c r="O1832">
        <f>IF($A1832="","",IF($B1832&lt;&gt;"",$B1832,$O1831))</f>
        <v/>
      </c>
    </row>
    <row r="1833">
      <c r="N1833">
        <f>IF($A1833="","",IF(COUNTIFS($A$2:$A1833,$A1833,$C$2:$C1833,$C1833)=1,1,0))</f>
        <v/>
      </c>
      <c r="O1833">
        <f>IF($A1833="","",IF($B1833&lt;&gt;"",$B1833,$O1832))</f>
        <v/>
      </c>
    </row>
    <row r="1834">
      <c r="N1834">
        <f>IF($A1834="","",IF(COUNTIFS($A$2:$A1834,$A1834,$C$2:$C1834,$C1834)=1,1,0))</f>
        <v/>
      </c>
      <c r="O1834">
        <f>IF($A1834="","",IF($B1834&lt;&gt;"",$B1834,$O1833))</f>
        <v/>
      </c>
    </row>
    <row r="1835">
      <c r="N1835">
        <f>IF($A1835="","",IF(COUNTIFS($A$2:$A1835,$A1835,$C$2:$C1835,$C1835)=1,1,0))</f>
        <v/>
      </c>
      <c r="O1835">
        <f>IF($A1835="","",IF($B1835&lt;&gt;"",$B1835,$O1834))</f>
        <v/>
      </c>
    </row>
    <row r="1836">
      <c r="N1836">
        <f>IF($A1836="","",IF(COUNTIFS($A$2:$A1836,$A1836,$C$2:$C1836,$C1836)=1,1,0))</f>
        <v/>
      </c>
      <c r="O1836">
        <f>IF($A1836="","",IF($B1836&lt;&gt;"",$B1836,$O1835))</f>
        <v/>
      </c>
    </row>
    <row r="1837">
      <c r="N1837">
        <f>IF($A1837="","",IF(COUNTIFS($A$2:$A1837,$A1837,$C$2:$C1837,$C1837)=1,1,0))</f>
        <v/>
      </c>
      <c r="O1837">
        <f>IF($A1837="","",IF($B1837&lt;&gt;"",$B1837,$O1836))</f>
        <v/>
      </c>
    </row>
    <row r="1838">
      <c r="N1838">
        <f>IF($A1838="","",IF(COUNTIFS($A$2:$A1838,$A1838,$C$2:$C1838,$C1838)=1,1,0))</f>
        <v/>
      </c>
      <c r="O1838">
        <f>IF($A1838="","",IF($B1838&lt;&gt;"",$B1838,$O1837))</f>
        <v/>
      </c>
    </row>
    <row r="1839">
      <c r="N1839">
        <f>IF($A1839="","",IF(COUNTIFS($A$2:$A1839,$A1839,$C$2:$C1839,$C1839)=1,1,0))</f>
        <v/>
      </c>
      <c r="O1839">
        <f>IF($A1839="","",IF($B1839&lt;&gt;"",$B1839,$O1838))</f>
        <v/>
      </c>
    </row>
    <row r="1840">
      <c r="N1840">
        <f>IF($A1840="","",IF(COUNTIFS($A$2:$A1840,$A1840,$C$2:$C1840,$C1840)=1,1,0))</f>
        <v/>
      </c>
      <c r="O1840">
        <f>IF($A1840="","",IF($B1840&lt;&gt;"",$B1840,$O1839))</f>
        <v/>
      </c>
    </row>
    <row r="1841">
      <c r="N1841">
        <f>IF($A1841="","",IF(COUNTIFS($A$2:$A1841,$A1841,$C$2:$C1841,$C1841)=1,1,0))</f>
        <v/>
      </c>
      <c r="O1841">
        <f>IF($A1841="","",IF($B1841&lt;&gt;"",$B1841,$O1840))</f>
        <v/>
      </c>
    </row>
    <row r="1842">
      <c r="N1842">
        <f>IF($A1842="","",IF(COUNTIFS($A$2:$A1842,$A1842,$C$2:$C1842,$C1842)=1,1,0))</f>
        <v/>
      </c>
      <c r="O1842">
        <f>IF($A1842="","",IF($B1842&lt;&gt;"",$B1842,$O1841))</f>
        <v/>
      </c>
    </row>
    <row r="1843">
      <c r="N1843">
        <f>IF($A1843="","",IF(COUNTIFS($A$2:$A1843,$A1843,$C$2:$C1843,$C1843)=1,1,0))</f>
        <v/>
      </c>
      <c r="O1843">
        <f>IF($A1843="","",IF($B1843&lt;&gt;"",$B1843,$O1842))</f>
        <v/>
      </c>
    </row>
    <row r="1844">
      <c r="N1844">
        <f>IF($A1844="","",IF(COUNTIFS($A$2:$A1844,$A1844,$C$2:$C1844,$C1844)=1,1,0))</f>
        <v/>
      </c>
      <c r="O1844">
        <f>IF($A1844="","",IF($B1844&lt;&gt;"",$B1844,$O1843))</f>
        <v/>
      </c>
    </row>
    <row r="1845">
      <c r="N1845">
        <f>IF($A1845="","",IF(COUNTIFS($A$2:$A1845,$A1845,$C$2:$C1845,$C1845)=1,1,0))</f>
        <v/>
      </c>
      <c r="O1845">
        <f>IF($A1845="","",IF($B1845&lt;&gt;"",$B1845,$O1844))</f>
        <v/>
      </c>
    </row>
    <row r="1846">
      <c r="N1846">
        <f>IF($A1846="","",IF(COUNTIFS($A$2:$A1846,$A1846,$C$2:$C1846,$C1846)=1,1,0))</f>
        <v/>
      </c>
      <c r="O1846">
        <f>IF($A1846="","",IF($B1846&lt;&gt;"",$B1846,$O1845))</f>
        <v/>
      </c>
    </row>
    <row r="1847">
      <c r="N1847">
        <f>IF($A1847="","",IF(COUNTIFS($A$2:$A1847,$A1847,$C$2:$C1847,$C1847)=1,1,0))</f>
        <v/>
      </c>
      <c r="O1847">
        <f>IF($A1847="","",IF($B1847&lt;&gt;"",$B1847,$O1846))</f>
        <v/>
      </c>
    </row>
    <row r="1848">
      <c r="N1848">
        <f>IF($A1848="","",IF(COUNTIFS($A$2:$A1848,$A1848,$C$2:$C1848,$C1848)=1,1,0))</f>
        <v/>
      </c>
      <c r="O1848">
        <f>IF($A1848="","",IF($B1848&lt;&gt;"",$B1848,$O1847))</f>
        <v/>
      </c>
    </row>
    <row r="1849">
      <c r="N1849">
        <f>IF($A1849="","",IF(COUNTIFS($A$2:$A1849,$A1849,$C$2:$C1849,$C1849)=1,1,0))</f>
        <v/>
      </c>
      <c r="O1849">
        <f>IF($A1849="","",IF($B1849&lt;&gt;"",$B1849,$O1848))</f>
        <v/>
      </c>
    </row>
    <row r="1850">
      <c r="N1850">
        <f>IF($A1850="","",IF(COUNTIFS($A$2:$A1850,$A1850,$C$2:$C1850,$C1850)=1,1,0))</f>
        <v/>
      </c>
      <c r="O1850">
        <f>IF($A1850="","",IF($B1850&lt;&gt;"",$B1850,$O1849))</f>
        <v/>
      </c>
    </row>
    <row r="1851">
      <c r="N1851">
        <f>IF($A1851="","",IF(COUNTIFS($A$2:$A1851,$A1851,$C$2:$C1851,$C1851)=1,1,0))</f>
        <v/>
      </c>
      <c r="O1851">
        <f>IF($A1851="","",IF($B1851&lt;&gt;"",$B1851,$O1850))</f>
        <v/>
      </c>
    </row>
    <row r="1852">
      <c r="N1852">
        <f>IF($A1852="","",IF(COUNTIFS($A$2:$A1852,$A1852,$C$2:$C1852,$C1852)=1,1,0))</f>
        <v/>
      </c>
      <c r="O1852">
        <f>IF($A1852="","",IF($B1852&lt;&gt;"",$B1852,$O1851))</f>
        <v/>
      </c>
    </row>
    <row r="1853">
      <c r="N1853">
        <f>IF($A1853="","",IF(COUNTIFS($A$2:$A1853,$A1853,$C$2:$C1853,$C1853)=1,1,0))</f>
        <v/>
      </c>
      <c r="O1853">
        <f>IF($A1853="","",IF($B1853&lt;&gt;"",$B1853,$O1852))</f>
        <v/>
      </c>
    </row>
    <row r="1854">
      <c r="N1854">
        <f>IF($A1854="","",IF(COUNTIFS($A$2:$A1854,$A1854,$C$2:$C1854,$C1854)=1,1,0))</f>
        <v/>
      </c>
      <c r="O1854">
        <f>IF($A1854="","",IF($B1854&lt;&gt;"",$B1854,$O1853))</f>
        <v/>
      </c>
    </row>
    <row r="1855">
      <c r="N1855">
        <f>IF($A1855="","",IF(COUNTIFS($A$2:$A1855,$A1855,$C$2:$C1855,$C1855)=1,1,0))</f>
        <v/>
      </c>
      <c r="O1855">
        <f>IF($A1855="","",IF($B1855&lt;&gt;"",$B1855,$O1854))</f>
        <v/>
      </c>
    </row>
    <row r="1856">
      <c r="N1856">
        <f>IF($A1856="","",IF(COUNTIFS($A$2:$A1856,$A1856,$C$2:$C1856,$C1856)=1,1,0))</f>
        <v/>
      </c>
      <c r="O1856">
        <f>IF($A1856="","",IF($B1856&lt;&gt;"",$B1856,$O1855))</f>
        <v/>
      </c>
    </row>
    <row r="1857">
      <c r="N1857">
        <f>IF($A1857="","",IF(COUNTIFS($A$2:$A1857,$A1857,$C$2:$C1857,$C1857)=1,1,0))</f>
        <v/>
      </c>
      <c r="O1857">
        <f>IF($A1857="","",IF($B1857&lt;&gt;"",$B1857,$O1856))</f>
        <v/>
      </c>
    </row>
    <row r="1858">
      <c r="N1858">
        <f>IF($A1858="","",IF(COUNTIFS($A$2:$A1858,$A1858,$C$2:$C1858,$C1858)=1,1,0))</f>
        <v/>
      </c>
      <c r="O1858">
        <f>IF($A1858="","",IF($B1858&lt;&gt;"",$B1858,$O1857))</f>
        <v/>
      </c>
    </row>
    <row r="1859">
      <c r="N1859">
        <f>IF($A1859="","",IF(COUNTIFS($A$2:$A1859,$A1859,$C$2:$C1859,$C1859)=1,1,0))</f>
        <v/>
      </c>
      <c r="O1859">
        <f>IF($A1859="","",IF($B1859&lt;&gt;"",$B1859,$O1858))</f>
        <v/>
      </c>
    </row>
    <row r="1860">
      <c r="N1860">
        <f>IF($A1860="","",IF(COUNTIFS($A$2:$A1860,$A1860,$C$2:$C1860,$C1860)=1,1,0))</f>
        <v/>
      </c>
      <c r="O1860">
        <f>IF($A1860="","",IF($B1860&lt;&gt;"",$B1860,$O1859))</f>
        <v/>
      </c>
    </row>
    <row r="1861">
      <c r="N1861">
        <f>IF($A1861="","",IF(COUNTIFS($A$2:$A1861,$A1861,$C$2:$C1861,$C1861)=1,1,0))</f>
        <v/>
      </c>
      <c r="O1861">
        <f>IF($A1861="","",IF($B1861&lt;&gt;"",$B1861,$O1860))</f>
        <v/>
      </c>
    </row>
    <row r="1862">
      <c r="N1862">
        <f>IF($A1862="","",IF(COUNTIFS($A$2:$A1862,$A1862,$C$2:$C1862,$C1862)=1,1,0))</f>
        <v/>
      </c>
      <c r="O1862">
        <f>IF($A1862="","",IF($B1862&lt;&gt;"",$B1862,$O1861))</f>
        <v/>
      </c>
    </row>
    <row r="1863">
      <c r="N1863">
        <f>IF($A1863="","",IF(COUNTIFS($A$2:$A1863,$A1863,$C$2:$C1863,$C1863)=1,1,0))</f>
        <v/>
      </c>
      <c r="O1863">
        <f>IF($A1863="","",IF($B1863&lt;&gt;"",$B1863,$O1862))</f>
        <v/>
      </c>
    </row>
    <row r="1864">
      <c r="N1864">
        <f>IF($A1864="","",IF(COUNTIFS($A$2:$A1864,$A1864,$C$2:$C1864,$C1864)=1,1,0))</f>
        <v/>
      </c>
      <c r="O1864">
        <f>IF($A1864="","",IF($B1864&lt;&gt;"",$B1864,$O1863))</f>
        <v/>
      </c>
    </row>
    <row r="1865">
      <c r="N1865">
        <f>IF($A1865="","",IF(COUNTIFS($A$2:$A1865,$A1865,$C$2:$C1865,$C1865)=1,1,0))</f>
        <v/>
      </c>
      <c r="O1865">
        <f>IF($A1865="","",IF($B1865&lt;&gt;"",$B1865,$O1864))</f>
        <v/>
      </c>
    </row>
    <row r="1866">
      <c r="N1866">
        <f>IF($A1866="","",IF(COUNTIFS($A$2:$A1866,$A1866,$C$2:$C1866,$C1866)=1,1,0))</f>
        <v/>
      </c>
      <c r="O1866">
        <f>IF($A1866="","",IF($B1866&lt;&gt;"",$B1866,$O1865))</f>
        <v/>
      </c>
    </row>
    <row r="1867">
      <c r="N1867">
        <f>IF($A1867="","",IF(COUNTIFS($A$2:$A1867,$A1867,$C$2:$C1867,$C1867)=1,1,0))</f>
        <v/>
      </c>
      <c r="O1867">
        <f>IF($A1867="","",IF($B1867&lt;&gt;"",$B1867,$O1866))</f>
        <v/>
      </c>
    </row>
    <row r="1868">
      <c r="N1868">
        <f>IF($A1868="","",IF(COUNTIFS($A$2:$A1868,$A1868,$C$2:$C1868,$C1868)=1,1,0))</f>
        <v/>
      </c>
      <c r="O1868">
        <f>IF($A1868="","",IF($B1868&lt;&gt;"",$B1868,$O1867))</f>
        <v/>
      </c>
    </row>
    <row r="1869">
      <c r="N1869">
        <f>IF($A1869="","",IF(COUNTIFS($A$2:$A1869,$A1869,$C$2:$C1869,$C1869)=1,1,0))</f>
        <v/>
      </c>
      <c r="O1869">
        <f>IF($A1869="","",IF($B1869&lt;&gt;"",$B1869,$O1868))</f>
        <v/>
      </c>
    </row>
    <row r="1870">
      <c r="N1870">
        <f>IF($A1870="","",IF(COUNTIFS($A$2:$A1870,$A1870,$C$2:$C1870,$C1870)=1,1,0))</f>
        <v/>
      </c>
      <c r="O1870">
        <f>IF($A1870="","",IF($B1870&lt;&gt;"",$B1870,$O1869))</f>
        <v/>
      </c>
    </row>
    <row r="1871">
      <c r="N1871">
        <f>IF($A1871="","",IF(COUNTIFS($A$2:$A1871,$A1871,$C$2:$C1871,$C1871)=1,1,0))</f>
        <v/>
      </c>
      <c r="O1871">
        <f>IF($A1871="","",IF($B1871&lt;&gt;"",$B1871,$O1870))</f>
        <v/>
      </c>
    </row>
    <row r="1872">
      <c r="N1872">
        <f>IF($A1872="","",IF(COUNTIFS($A$2:$A1872,$A1872,$C$2:$C1872,$C1872)=1,1,0))</f>
        <v/>
      </c>
      <c r="O1872">
        <f>IF($A1872="","",IF($B1872&lt;&gt;"",$B1872,$O1871))</f>
        <v/>
      </c>
    </row>
    <row r="1873">
      <c r="N1873">
        <f>IF($A1873="","",IF(COUNTIFS($A$2:$A1873,$A1873,$C$2:$C1873,$C1873)=1,1,0))</f>
        <v/>
      </c>
      <c r="O1873">
        <f>IF($A1873="","",IF($B1873&lt;&gt;"",$B1873,$O1872))</f>
        <v/>
      </c>
    </row>
    <row r="1874">
      <c r="N1874">
        <f>IF($A1874="","",IF(COUNTIFS($A$2:$A1874,$A1874,$C$2:$C1874,$C1874)=1,1,0))</f>
        <v/>
      </c>
      <c r="O1874">
        <f>IF($A1874="","",IF($B1874&lt;&gt;"",$B1874,$O1873))</f>
        <v/>
      </c>
    </row>
    <row r="1875">
      <c r="N1875">
        <f>IF($A1875="","",IF(COUNTIFS($A$2:$A1875,$A1875,$C$2:$C1875,$C1875)=1,1,0))</f>
        <v/>
      </c>
      <c r="O1875">
        <f>IF($A1875="","",IF($B1875&lt;&gt;"",$B1875,$O1874))</f>
        <v/>
      </c>
    </row>
    <row r="1876">
      <c r="N1876">
        <f>IF($A1876="","",IF(COUNTIFS($A$2:$A1876,$A1876,$C$2:$C1876,$C1876)=1,1,0))</f>
        <v/>
      </c>
      <c r="O1876">
        <f>IF($A1876="","",IF($B1876&lt;&gt;"",$B1876,$O1875))</f>
        <v/>
      </c>
    </row>
    <row r="1877">
      <c r="N1877">
        <f>IF($A1877="","",IF(COUNTIFS($A$2:$A1877,$A1877,$C$2:$C1877,$C1877)=1,1,0))</f>
        <v/>
      </c>
      <c r="O1877">
        <f>IF($A1877="","",IF($B1877&lt;&gt;"",$B1877,$O1876))</f>
        <v/>
      </c>
    </row>
    <row r="1878">
      <c r="N1878">
        <f>IF($A1878="","",IF(COUNTIFS($A$2:$A1878,$A1878,$C$2:$C1878,$C1878)=1,1,0))</f>
        <v/>
      </c>
      <c r="O1878">
        <f>IF($A1878="","",IF($B1878&lt;&gt;"",$B1878,$O1877))</f>
        <v/>
      </c>
    </row>
    <row r="1879">
      <c r="N1879">
        <f>IF($A1879="","",IF(COUNTIFS($A$2:$A1879,$A1879,$C$2:$C1879,$C1879)=1,1,0))</f>
        <v/>
      </c>
      <c r="O1879">
        <f>IF($A1879="","",IF($B1879&lt;&gt;"",$B1879,$O1878))</f>
        <v/>
      </c>
    </row>
    <row r="1880">
      <c r="N1880">
        <f>IF($A1880="","",IF(COUNTIFS($A$2:$A1880,$A1880,$C$2:$C1880,$C1880)=1,1,0))</f>
        <v/>
      </c>
      <c r="O1880">
        <f>IF($A1880="","",IF($B1880&lt;&gt;"",$B1880,$O1879))</f>
        <v/>
      </c>
    </row>
    <row r="1881">
      <c r="N1881">
        <f>IF($A1881="","",IF(COUNTIFS($A$2:$A1881,$A1881,$C$2:$C1881,$C1881)=1,1,0))</f>
        <v/>
      </c>
      <c r="O1881">
        <f>IF($A1881="","",IF($B1881&lt;&gt;"",$B1881,$O1880))</f>
        <v/>
      </c>
    </row>
    <row r="1882">
      <c r="N1882">
        <f>IF($A1882="","",IF(COUNTIFS($A$2:$A1882,$A1882,$C$2:$C1882,$C1882)=1,1,0))</f>
        <v/>
      </c>
      <c r="O1882">
        <f>IF($A1882="","",IF($B1882&lt;&gt;"",$B1882,$O1881))</f>
        <v/>
      </c>
    </row>
    <row r="1883">
      <c r="N1883">
        <f>IF($A1883="","",IF(COUNTIFS($A$2:$A1883,$A1883,$C$2:$C1883,$C1883)=1,1,0))</f>
        <v/>
      </c>
      <c r="O1883">
        <f>IF($A1883="","",IF($B1883&lt;&gt;"",$B1883,$O1882))</f>
        <v/>
      </c>
    </row>
    <row r="1884">
      <c r="N1884">
        <f>IF($A1884="","",IF(COUNTIFS($A$2:$A1884,$A1884,$C$2:$C1884,$C1884)=1,1,0))</f>
        <v/>
      </c>
      <c r="O1884">
        <f>IF($A1884="","",IF($B1884&lt;&gt;"",$B1884,$O1883))</f>
        <v/>
      </c>
    </row>
    <row r="1885">
      <c r="N1885">
        <f>IF($A1885="","",IF(COUNTIFS($A$2:$A1885,$A1885,$C$2:$C1885,$C1885)=1,1,0))</f>
        <v/>
      </c>
      <c r="O1885">
        <f>IF($A1885="","",IF($B1885&lt;&gt;"",$B1885,$O1884))</f>
        <v/>
      </c>
    </row>
    <row r="1886">
      <c r="N1886">
        <f>IF($A1886="","",IF(COUNTIFS($A$2:$A1886,$A1886,$C$2:$C1886,$C1886)=1,1,0))</f>
        <v/>
      </c>
      <c r="O1886">
        <f>IF($A1886="","",IF($B1886&lt;&gt;"",$B1886,$O1885))</f>
        <v/>
      </c>
    </row>
    <row r="1887">
      <c r="N1887">
        <f>IF($A1887="","",IF(COUNTIFS($A$2:$A1887,$A1887,$C$2:$C1887,$C1887)=1,1,0))</f>
        <v/>
      </c>
      <c r="O1887">
        <f>IF($A1887="","",IF($B1887&lt;&gt;"",$B1887,$O1886))</f>
        <v/>
      </c>
    </row>
    <row r="1888">
      <c r="N1888">
        <f>IF($A1888="","",IF(COUNTIFS($A$2:$A1888,$A1888,$C$2:$C1888,$C1888)=1,1,0))</f>
        <v/>
      </c>
      <c r="O1888">
        <f>IF($A1888="","",IF($B1888&lt;&gt;"",$B1888,$O1887))</f>
        <v/>
      </c>
    </row>
    <row r="1889">
      <c r="N1889">
        <f>IF($A1889="","",IF(COUNTIFS($A$2:$A1889,$A1889,$C$2:$C1889,$C1889)=1,1,0))</f>
        <v/>
      </c>
      <c r="O1889">
        <f>IF($A1889="","",IF($B1889&lt;&gt;"",$B1889,$O1888))</f>
        <v/>
      </c>
    </row>
    <row r="1890">
      <c r="N1890">
        <f>IF($A1890="","",IF(COUNTIFS($A$2:$A1890,$A1890,$C$2:$C1890,$C1890)=1,1,0))</f>
        <v/>
      </c>
      <c r="O1890">
        <f>IF($A1890="","",IF($B1890&lt;&gt;"",$B1890,$O1889))</f>
        <v/>
      </c>
    </row>
    <row r="1891">
      <c r="N1891">
        <f>IF($A1891="","",IF(COUNTIFS($A$2:$A1891,$A1891,$C$2:$C1891,$C1891)=1,1,0))</f>
        <v/>
      </c>
      <c r="O1891">
        <f>IF($A1891="","",IF($B1891&lt;&gt;"",$B1891,$O1890))</f>
        <v/>
      </c>
    </row>
    <row r="1892">
      <c r="N1892">
        <f>IF($A1892="","",IF(COUNTIFS($A$2:$A1892,$A1892,$C$2:$C1892,$C1892)=1,1,0))</f>
        <v/>
      </c>
      <c r="O1892">
        <f>IF($A1892="","",IF($B1892&lt;&gt;"",$B1892,$O1891))</f>
        <v/>
      </c>
    </row>
    <row r="1893">
      <c r="N1893">
        <f>IF($A1893="","",IF(COUNTIFS($A$2:$A1893,$A1893,$C$2:$C1893,$C1893)=1,1,0))</f>
        <v/>
      </c>
      <c r="O1893">
        <f>IF($A1893="","",IF($B1893&lt;&gt;"",$B1893,$O1892))</f>
        <v/>
      </c>
    </row>
    <row r="1894">
      <c r="N1894">
        <f>IF($A1894="","",IF(COUNTIFS($A$2:$A1894,$A1894,$C$2:$C1894,$C1894)=1,1,0))</f>
        <v/>
      </c>
      <c r="O1894">
        <f>IF($A1894="","",IF($B1894&lt;&gt;"",$B1894,$O1893))</f>
        <v/>
      </c>
    </row>
    <row r="1895">
      <c r="N1895">
        <f>IF($A1895="","",IF(COUNTIFS($A$2:$A1895,$A1895,$C$2:$C1895,$C1895)=1,1,0))</f>
        <v/>
      </c>
      <c r="O1895">
        <f>IF($A1895="","",IF($B1895&lt;&gt;"",$B1895,$O1894))</f>
        <v/>
      </c>
    </row>
    <row r="1896">
      <c r="N1896">
        <f>IF($A1896="","",IF(COUNTIFS($A$2:$A1896,$A1896,$C$2:$C1896,$C1896)=1,1,0))</f>
        <v/>
      </c>
      <c r="O1896">
        <f>IF($A1896="","",IF($B1896&lt;&gt;"",$B1896,$O1895))</f>
        <v/>
      </c>
    </row>
    <row r="1897">
      <c r="N1897">
        <f>IF($A1897="","",IF(COUNTIFS($A$2:$A1897,$A1897,$C$2:$C1897,$C1897)=1,1,0))</f>
        <v/>
      </c>
      <c r="O1897">
        <f>IF($A1897="","",IF($B1897&lt;&gt;"",$B1897,$O1896))</f>
        <v/>
      </c>
    </row>
    <row r="1898">
      <c r="N1898">
        <f>IF($A1898="","",IF(COUNTIFS($A$2:$A1898,$A1898,$C$2:$C1898,$C1898)=1,1,0))</f>
        <v/>
      </c>
      <c r="O1898">
        <f>IF($A1898="","",IF($B1898&lt;&gt;"",$B1898,$O1897))</f>
        <v/>
      </c>
    </row>
    <row r="1899">
      <c r="N1899">
        <f>IF($A1899="","",IF(COUNTIFS($A$2:$A1899,$A1899,$C$2:$C1899,$C1899)=1,1,0))</f>
        <v/>
      </c>
      <c r="O1899">
        <f>IF($A1899="","",IF($B1899&lt;&gt;"",$B1899,$O1898))</f>
        <v/>
      </c>
    </row>
    <row r="1900">
      <c r="N1900">
        <f>IF($A1900="","",IF(COUNTIFS($A$2:$A1900,$A1900,$C$2:$C1900,$C1900)=1,1,0))</f>
        <v/>
      </c>
      <c r="O1900">
        <f>IF($A1900="","",IF($B1900&lt;&gt;"",$B1900,$O1899))</f>
        <v/>
      </c>
    </row>
    <row r="1901">
      <c r="N1901">
        <f>IF($A1901="","",IF(COUNTIFS($A$2:$A1901,$A1901,$C$2:$C1901,$C1901)=1,1,0))</f>
        <v/>
      </c>
      <c r="O1901">
        <f>IF($A1901="","",IF($B1901&lt;&gt;"",$B1901,$O1900))</f>
        <v/>
      </c>
    </row>
    <row r="1902">
      <c r="N1902">
        <f>IF($A1902="","",IF(COUNTIFS($A$2:$A1902,$A1902,$C$2:$C1902,$C1902)=1,1,0))</f>
        <v/>
      </c>
      <c r="O1902">
        <f>IF($A1902="","",IF($B1902&lt;&gt;"",$B1902,$O1901))</f>
        <v/>
      </c>
    </row>
    <row r="1903">
      <c r="N1903">
        <f>IF($A1903="","",IF(COUNTIFS($A$2:$A1903,$A1903,$C$2:$C1903,$C1903)=1,1,0))</f>
        <v/>
      </c>
      <c r="O1903">
        <f>IF($A1903="","",IF($B1903&lt;&gt;"",$B1903,$O1902))</f>
        <v/>
      </c>
    </row>
    <row r="1904">
      <c r="N1904">
        <f>IF($A1904="","",IF(COUNTIFS($A$2:$A1904,$A1904,$C$2:$C1904,$C1904)=1,1,0))</f>
        <v/>
      </c>
      <c r="O1904">
        <f>IF($A1904="","",IF($B1904&lt;&gt;"",$B1904,$O1903))</f>
        <v/>
      </c>
    </row>
    <row r="1905">
      <c r="N1905">
        <f>IF($A1905="","",IF(COUNTIFS($A$2:$A1905,$A1905,$C$2:$C1905,$C1905)=1,1,0))</f>
        <v/>
      </c>
      <c r="O1905">
        <f>IF($A1905="","",IF($B1905&lt;&gt;"",$B1905,$O1904))</f>
        <v/>
      </c>
    </row>
    <row r="1906">
      <c r="N1906">
        <f>IF($A1906="","",IF(COUNTIFS($A$2:$A1906,$A1906,$C$2:$C1906,$C1906)=1,1,0))</f>
        <v/>
      </c>
      <c r="O1906">
        <f>IF($A1906="","",IF($B1906&lt;&gt;"",$B1906,$O1905))</f>
        <v/>
      </c>
    </row>
    <row r="1907">
      <c r="N1907">
        <f>IF($A1907="","",IF(COUNTIFS($A$2:$A1907,$A1907,$C$2:$C1907,$C1907)=1,1,0))</f>
        <v/>
      </c>
      <c r="O1907">
        <f>IF($A1907="","",IF($B1907&lt;&gt;"",$B1907,$O1906))</f>
        <v/>
      </c>
    </row>
    <row r="1908">
      <c r="N1908">
        <f>IF($A1908="","",IF(COUNTIFS($A$2:$A1908,$A1908,$C$2:$C1908,$C1908)=1,1,0))</f>
        <v/>
      </c>
      <c r="O1908">
        <f>IF($A1908="","",IF($B1908&lt;&gt;"",$B1908,$O1907))</f>
        <v/>
      </c>
    </row>
    <row r="1909">
      <c r="N1909">
        <f>IF($A1909="","",IF(COUNTIFS($A$2:$A1909,$A1909,$C$2:$C1909,$C1909)=1,1,0))</f>
        <v/>
      </c>
      <c r="O1909">
        <f>IF($A1909="","",IF($B1909&lt;&gt;"",$B1909,$O1908))</f>
        <v/>
      </c>
    </row>
    <row r="1910">
      <c r="N1910">
        <f>IF($A1910="","",IF(COUNTIFS($A$2:$A1910,$A1910,$C$2:$C1910,$C1910)=1,1,0))</f>
        <v/>
      </c>
      <c r="O1910">
        <f>IF($A1910="","",IF($B1910&lt;&gt;"",$B1910,$O1909))</f>
        <v/>
      </c>
    </row>
    <row r="1911">
      <c r="N1911">
        <f>IF($A1911="","",IF(COUNTIFS($A$2:$A1911,$A1911,$C$2:$C1911,$C1911)=1,1,0))</f>
        <v/>
      </c>
      <c r="O1911">
        <f>IF($A1911="","",IF($B1911&lt;&gt;"",$B1911,$O1910))</f>
        <v/>
      </c>
    </row>
    <row r="1912">
      <c r="N1912">
        <f>IF($A1912="","",IF(COUNTIFS($A$2:$A1912,$A1912,$C$2:$C1912,$C1912)=1,1,0))</f>
        <v/>
      </c>
      <c r="O1912">
        <f>IF($A1912="","",IF($B1912&lt;&gt;"",$B1912,$O1911))</f>
        <v/>
      </c>
    </row>
    <row r="1913">
      <c r="N1913">
        <f>IF($A1913="","",IF(COUNTIFS($A$2:$A1913,$A1913,$C$2:$C1913,$C1913)=1,1,0))</f>
        <v/>
      </c>
      <c r="O1913">
        <f>IF($A1913="","",IF($B1913&lt;&gt;"",$B1913,$O1912))</f>
        <v/>
      </c>
    </row>
    <row r="1914">
      <c r="N1914">
        <f>IF($A1914="","",IF(COUNTIFS($A$2:$A1914,$A1914,$C$2:$C1914,$C1914)=1,1,0))</f>
        <v/>
      </c>
      <c r="O1914">
        <f>IF($A1914="","",IF($B1914&lt;&gt;"",$B1914,$O1913))</f>
        <v/>
      </c>
    </row>
    <row r="1915">
      <c r="N1915">
        <f>IF($A1915="","",IF(COUNTIFS($A$2:$A1915,$A1915,$C$2:$C1915,$C1915)=1,1,0))</f>
        <v/>
      </c>
      <c r="O1915">
        <f>IF($A1915="","",IF($B1915&lt;&gt;"",$B1915,$O1914))</f>
        <v/>
      </c>
    </row>
    <row r="1916">
      <c r="N1916">
        <f>IF($A1916="","",IF(COUNTIFS($A$2:$A1916,$A1916,$C$2:$C1916,$C1916)=1,1,0))</f>
        <v/>
      </c>
      <c r="O1916">
        <f>IF($A1916="","",IF($B1916&lt;&gt;"",$B1916,$O1915))</f>
        <v/>
      </c>
    </row>
    <row r="1917">
      <c r="N1917">
        <f>IF($A1917="","",IF(COUNTIFS($A$2:$A1917,$A1917,$C$2:$C1917,$C1917)=1,1,0))</f>
        <v/>
      </c>
      <c r="O1917">
        <f>IF($A1917="","",IF($B1917&lt;&gt;"",$B1917,$O1916))</f>
        <v/>
      </c>
    </row>
    <row r="1918">
      <c r="N1918">
        <f>IF($A1918="","",IF(COUNTIFS($A$2:$A1918,$A1918,$C$2:$C1918,$C1918)=1,1,0))</f>
        <v/>
      </c>
      <c r="O1918">
        <f>IF($A1918="","",IF($B1918&lt;&gt;"",$B1918,$O1917))</f>
        <v/>
      </c>
    </row>
    <row r="1919">
      <c r="N1919">
        <f>IF($A1919="","",IF(COUNTIFS($A$2:$A1919,$A1919,$C$2:$C1919,$C1919)=1,1,0))</f>
        <v/>
      </c>
      <c r="O1919">
        <f>IF($A1919="","",IF($B1919&lt;&gt;"",$B1919,$O1918))</f>
        <v/>
      </c>
    </row>
    <row r="1920">
      <c r="N1920">
        <f>IF($A1920="","",IF(COUNTIFS($A$2:$A1920,$A1920,$C$2:$C1920,$C1920)=1,1,0))</f>
        <v/>
      </c>
      <c r="O1920">
        <f>IF($A1920="","",IF($B1920&lt;&gt;"",$B1920,$O1919))</f>
        <v/>
      </c>
    </row>
    <row r="1921">
      <c r="N1921">
        <f>IF($A1921="","",IF(COUNTIFS($A$2:$A1921,$A1921,$C$2:$C1921,$C1921)=1,1,0))</f>
        <v/>
      </c>
      <c r="O1921">
        <f>IF($A1921="","",IF($B1921&lt;&gt;"",$B1921,$O1920))</f>
        <v/>
      </c>
    </row>
    <row r="1922">
      <c r="N1922">
        <f>IF($A1922="","",IF(COUNTIFS($A$2:$A1922,$A1922,$C$2:$C1922,$C1922)=1,1,0))</f>
        <v/>
      </c>
      <c r="O1922">
        <f>IF($A1922="","",IF($B1922&lt;&gt;"",$B1922,$O1921))</f>
        <v/>
      </c>
    </row>
    <row r="1923">
      <c r="N1923">
        <f>IF($A1923="","",IF(COUNTIFS($A$2:$A1923,$A1923,$C$2:$C1923,$C1923)=1,1,0))</f>
        <v/>
      </c>
      <c r="O1923">
        <f>IF($A1923="","",IF($B1923&lt;&gt;"",$B1923,$O1922))</f>
        <v/>
      </c>
    </row>
    <row r="1924">
      <c r="N1924">
        <f>IF($A1924="","",IF(COUNTIFS($A$2:$A1924,$A1924,$C$2:$C1924,$C1924)=1,1,0))</f>
        <v/>
      </c>
      <c r="O1924">
        <f>IF($A1924="","",IF($B1924&lt;&gt;"",$B1924,$O1923))</f>
        <v/>
      </c>
    </row>
    <row r="1925">
      <c r="N1925">
        <f>IF($A1925="","",IF(COUNTIFS($A$2:$A1925,$A1925,$C$2:$C1925,$C1925)=1,1,0))</f>
        <v/>
      </c>
      <c r="O1925">
        <f>IF($A1925="","",IF($B1925&lt;&gt;"",$B1925,$O1924))</f>
        <v/>
      </c>
    </row>
    <row r="1926">
      <c r="N1926">
        <f>IF($A1926="","",IF(COUNTIFS($A$2:$A1926,$A1926,$C$2:$C1926,$C1926)=1,1,0))</f>
        <v/>
      </c>
      <c r="O1926">
        <f>IF($A1926="","",IF($B1926&lt;&gt;"",$B1926,$O1925))</f>
        <v/>
      </c>
    </row>
    <row r="1927">
      <c r="N1927">
        <f>IF($A1927="","",IF(COUNTIFS($A$2:$A1927,$A1927,$C$2:$C1927,$C1927)=1,1,0))</f>
        <v/>
      </c>
      <c r="O1927">
        <f>IF($A1927="","",IF($B1927&lt;&gt;"",$B1927,$O1926))</f>
        <v/>
      </c>
    </row>
    <row r="1928">
      <c r="N1928">
        <f>IF($A1928="","",IF(COUNTIFS($A$2:$A1928,$A1928,$C$2:$C1928,$C1928)=1,1,0))</f>
        <v/>
      </c>
      <c r="O1928">
        <f>IF($A1928="","",IF($B1928&lt;&gt;"",$B1928,$O1927))</f>
        <v/>
      </c>
    </row>
    <row r="1929">
      <c r="N1929">
        <f>IF($A1929="","",IF(COUNTIFS($A$2:$A1929,$A1929,$C$2:$C1929,$C1929)=1,1,0))</f>
        <v/>
      </c>
      <c r="O1929">
        <f>IF($A1929="","",IF($B1929&lt;&gt;"",$B1929,$O1928))</f>
        <v/>
      </c>
    </row>
    <row r="1930">
      <c r="N1930">
        <f>IF($A1930="","",IF(COUNTIFS($A$2:$A1930,$A1930,$C$2:$C1930,$C1930)=1,1,0))</f>
        <v/>
      </c>
      <c r="O1930">
        <f>IF($A1930="","",IF($B1930&lt;&gt;"",$B1930,$O1929))</f>
        <v/>
      </c>
    </row>
    <row r="1931">
      <c r="N1931">
        <f>IF($A1931="","",IF(COUNTIFS($A$2:$A1931,$A1931,$C$2:$C1931,$C1931)=1,1,0))</f>
        <v/>
      </c>
      <c r="O1931">
        <f>IF($A1931="","",IF($B1931&lt;&gt;"",$B1931,$O1930))</f>
        <v/>
      </c>
    </row>
    <row r="1932">
      <c r="N1932">
        <f>IF($A1932="","",IF(COUNTIFS($A$2:$A1932,$A1932,$C$2:$C1932,$C1932)=1,1,0))</f>
        <v/>
      </c>
      <c r="O1932">
        <f>IF($A1932="","",IF($B1932&lt;&gt;"",$B1932,$O1931))</f>
        <v/>
      </c>
    </row>
    <row r="1933">
      <c r="N1933">
        <f>IF($A1933="","",IF(COUNTIFS($A$2:$A1933,$A1933,$C$2:$C1933,$C1933)=1,1,0))</f>
        <v/>
      </c>
      <c r="O1933">
        <f>IF($A1933="","",IF($B1933&lt;&gt;"",$B1933,$O1932))</f>
        <v/>
      </c>
    </row>
    <row r="1934">
      <c r="N1934">
        <f>IF($A1934="","",IF(COUNTIFS($A$2:$A1934,$A1934,$C$2:$C1934,$C1934)=1,1,0))</f>
        <v/>
      </c>
      <c r="O1934">
        <f>IF($A1934="","",IF($B1934&lt;&gt;"",$B1934,$O1933))</f>
        <v/>
      </c>
    </row>
    <row r="1935">
      <c r="N1935">
        <f>IF($A1935="","",IF(COUNTIFS($A$2:$A1935,$A1935,$C$2:$C1935,$C1935)=1,1,0))</f>
        <v/>
      </c>
      <c r="O1935">
        <f>IF($A1935="","",IF($B1935&lt;&gt;"",$B1935,$O1934))</f>
        <v/>
      </c>
    </row>
    <row r="1936">
      <c r="N1936">
        <f>IF($A1936="","",IF(COUNTIFS($A$2:$A1936,$A1936,$C$2:$C1936,$C1936)=1,1,0))</f>
        <v/>
      </c>
      <c r="O1936">
        <f>IF($A1936="","",IF($B1936&lt;&gt;"",$B1936,$O1935))</f>
        <v/>
      </c>
    </row>
    <row r="1937">
      <c r="N1937">
        <f>IF($A1937="","",IF(COUNTIFS($A$2:$A1937,$A1937,$C$2:$C1937,$C1937)=1,1,0))</f>
        <v/>
      </c>
      <c r="O1937">
        <f>IF($A1937="","",IF($B1937&lt;&gt;"",$B1937,$O1936))</f>
        <v/>
      </c>
    </row>
    <row r="1938">
      <c r="N1938">
        <f>IF($A1938="","",IF(COUNTIFS($A$2:$A1938,$A1938,$C$2:$C1938,$C1938)=1,1,0))</f>
        <v/>
      </c>
      <c r="O1938">
        <f>IF($A1938="","",IF($B1938&lt;&gt;"",$B1938,$O1937))</f>
        <v/>
      </c>
    </row>
    <row r="1939">
      <c r="N1939">
        <f>IF($A1939="","",IF(COUNTIFS($A$2:$A1939,$A1939,$C$2:$C1939,$C1939)=1,1,0))</f>
        <v/>
      </c>
      <c r="O1939">
        <f>IF($A1939="","",IF($B1939&lt;&gt;"",$B1939,$O1938))</f>
        <v/>
      </c>
    </row>
    <row r="1940">
      <c r="N1940">
        <f>IF($A1940="","",IF(COUNTIFS($A$2:$A1940,$A1940,$C$2:$C1940,$C1940)=1,1,0))</f>
        <v/>
      </c>
      <c r="O1940">
        <f>IF($A1940="","",IF($B1940&lt;&gt;"",$B1940,$O1939))</f>
        <v/>
      </c>
    </row>
    <row r="1941">
      <c r="N1941">
        <f>IF($A1941="","",IF(COUNTIFS($A$2:$A1941,$A1941,$C$2:$C1941,$C1941)=1,1,0))</f>
        <v/>
      </c>
      <c r="O1941">
        <f>IF($A1941="","",IF($B1941&lt;&gt;"",$B1941,$O1940))</f>
        <v/>
      </c>
    </row>
    <row r="1942">
      <c r="N1942">
        <f>IF($A1942="","",IF(COUNTIFS($A$2:$A1942,$A1942,$C$2:$C1942,$C1942)=1,1,0))</f>
        <v/>
      </c>
      <c r="O1942">
        <f>IF($A1942="","",IF($B1942&lt;&gt;"",$B1942,$O1941))</f>
        <v/>
      </c>
    </row>
    <row r="1943">
      <c r="N1943">
        <f>IF($A1943="","",IF(COUNTIFS($A$2:$A1943,$A1943,$C$2:$C1943,$C1943)=1,1,0))</f>
        <v/>
      </c>
      <c r="O1943">
        <f>IF($A1943="","",IF($B1943&lt;&gt;"",$B1943,$O1942))</f>
        <v/>
      </c>
    </row>
    <row r="1944">
      <c r="N1944">
        <f>IF($A1944="","",IF(COUNTIFS($A$2:$A1944,$A1944,$C$2:$C1944,$C1944)=1,1,0))</f>
        <v/>
      </c>
      <c r="O1944">
        <f>IF($A1944="","",IF($B1944&lt;&gt;"",$B1944,$O1943))</f>
        <v/>
      </c>
    </row>
    <row r="1945">
      <c r="N1945">
        <f>IF($A1945="","",IF(COUNTIFS($A$2:$A1945,$A1945,$C$2:$C1945,$C1945)=1,1,0))</f>
        <v/>
      </c>
      <c r="O1945">
        <f>IF($A1945="","",IF($B1945&lt;&gt;"",$B1945,$O1944))</f>
        <v/>
      </c>
    </row>
    <row r="1946">
      <c r="N1946">
        <f>IF($A1946="","",IF(COUNTIFS($A$2:$A1946,$A1946,$C$2:$C1946,$C1946)=1,1,0))</f>
        <v/>
      </c>
      <c r="O1946">
        <f>IF($A1946="","",IF($B1946&lt;&gt;"",$B1946,$O1945))</f>
        <v/>
      </c>
    </row>
    <row r="1947">
      <c r="N1947">
        <f>IF($A1947="","",IF(COUNTIFS($A$2:$A1947,$A1947,$C$2:$C1947,$C1947)=1,1,0))</f>
        <v/>
      </c>
      <c r="O1947">
        <f>IF($A1947="","",IF($B1947&lt;&gt;"",$B1947,$O1946))</f>
        <v/>
      </c>
    </row>
    <row r="1948">
      <c r="N1948">
        <f>IF($A1948="","",IF(COUNTIFS($A$2:$A1948,$A1948,$C$2:$C1948,$C1948)=1,1,0))</f>
        <v/>
      </c>
      <c r="O1948">
        <f>IF($A1948="","",IF($B1948&lt;&gt;"",$B1948,$O1947))</f>
        <v/>
      </c>
    </row>
    <row r="1949">
      <c r="N1949">
        <f>IF($A1949="","",IF(COUNTIFS($A$2:$A1949,$A1949,$C$2:$C1949,$C1949)=1,1,0))</f>
        <v/>
      </c>
      <c r="O1949">
        <f>IF($A1949="","",IF($B1949&lt;&gt;"",$B1949,$O1948))</f>
        <v/>
      </c>
    </row>
    <row r="1950">
      <c r="N1950">
        <f>IF($A1950="","",IF(COUNTIFS($A$2:$A1950,$A1950,$C$2:$C1950,$C1950)=1,1,0))</f>
        <v/>
      </c>
      <c r="O1950">
        <f>IF($A1950="","",IF($B1950&lt;&gt;"",$B1950,$O1949))</f>
        <v/>
      </c>
    </row>
    <row r="1951">
      <c r="N1951">
        <f>IF($A1951="","",IF(COUNTIFS($A$2:$A1951,$A1951,$C$2:$C1951,$C1951)=1,1,0))</f>
        <v/>
      </c>
      <c r="O1951">
        <f>IF($A1951="","",IF($B1951&lt;&gt;"",$B1951,$O1950))</f>
        <v/>
      </c>
    </row>
    <row r="1952">
      <c r="N1952">
        <f>IF($A1952="","",IF(COUNTIFS($A$2:$A1952,$A1952,$C$2:$C1952,$C1952)=1,1,0))</f>
        <v/>
      </c>
      <c r="O1952">
        <f>IF($A1952="","",IF($B1952&lt;&gt;"",$B1952,$O1951))</f>
        <v/>
      </c>
    </row>
    <row r="1953">
      <c r="N1953">
        <f>IF($A1953="","",IF(COUNTIFS($A$2:$A1953,$A1953,$C$2:$C1953,$C1953)=1,1,0))</f>
        <v/>
      </c>
      <c r="O1953">
        <f>IF($A1953="","",IF($B1953&lt;&gt;"",$B1953,$O1952))</f>
        <v/>
      </c>
    </row>
    <row r="1954">
      <c r="N1954">
        <f>IF($A1954="","",IF(COUNTIFS($A$2:$A1954,$A1954,$C$2:$C1954,$C1954)=1,1,0))</f>
        <v/>
      </c>
      <c r="O1954">
        <f>IF($A1954="","",IF($B1954&lt;&gt;"",$B1954,$O1953))</f>
        <v/>
      </c>
    </row>
    <row r="1955">
      <c r="N1955">
        <f>IF($A1955="","",IF(COUNTIFS($A$2:$A1955,$A1955,$C$2:$C1955,$C1955)=1,1,0))</f>
        <v/>
      </c>
      <c r="O1955">
        <f>IF($A1955="","",IF($B1955&lt;&gt;"",$B1955,$O1954))</f>
        <v/>
      </c>
    </row>
    <row r="1956">
      <c r="N1956">
        <f>IF($A1956="","",IF(COUNTIFS($A$2:$A1956,$A1956,$C$2:$C1956,$C1956)=1,1,0))</f>
        <v/>
      </c>
      <c r="O1956">
        <f>IF($A1956="","",IF($B1956&lt;&gt;"",$B1956,$O1955))</f>
        <v/>
      </c>
    </row>
    <row r="1957">
      <c r="N1957">
        <f>IF($A1957="","",IF(COUNTIFS($A$2:$A1957,$A1957,$C$2:$C1957,$C1957)=1,1,0))</f>
        <v/>
      </c>
      <c r="O1957">
        <f>IF($A1957="","",IF($B1957&lt;&gt;"",$B1957,$O1956))</f>
        <v/>
      </c>
    </row>
    <row r="1958">
      <c r="N1958">
        <f>IF($A1958="","",IF(COUNTIFS($A$2:$A1958,$A1958,$C$2:$C1958,$C1958)=1,1,0))</f>
        <v/>
      </c>
      <c r="O1958">
        <f>IF($A1958="","",IF($B1958&lt;&gt;"",$B1958,$O1957))</f>
        <v/>
      </c>
    </row>
    <row r="1959">
      <c r="N1959">
        <f>IF($A1959="","",IF(COUNTIFS($A$2:$A1959,$A1959,$C$2:$C1959,$C1959)=1,1,0))</f>
        <v/>
      </c>
      <c r="O1959">
        <f>IF($A1959="","",IF($B1959&lt;&gt;"",$B1959,$O1958))</f>
        <v/>
      </c>
    </row>
    <row r="1960">
      <c r="N1960">
        <f>IF($A1960="","",IF(COUNTIFS($A$2:$A1960,$A1960,$C$2:$C1960,$C1960)=1,1,0))</f>
        <v/>
      </c>
      <c r="O1960">
        <f>IF($A1960="","",IF($B1960&lt;&gt;"",$B1960,$O1959))</f>
        <v/>
      </c>
    </row>
    <row r="1961">
      <c r="N1961">
        <f>IF($A1961="","",IF(COUNTIFS($A$2:$A1961,$A1961,$C$2:$C1961,$C1961)=1,1,0))</f>
        <v/>
      </c>
      <c r="O1961">
        <f>IF($A1961="","",IF($B1961&lt;&gt;"",$B1961,$O1960))</f>
        <v/>
      </c>
    </row>
    <row r="1962">
      <c r="N1962">
        <f>IF($A1962="","",IF(COUNTIFS($A$2:$A1962,$A1962,$C$2:$C1962,$C1962)=1,1,0))</f>
        <v/>
      </c>
      <c r="O1962">
        <f>IF($A1962="","",IF($B1962&lt;&gt;"",$B1962,$O1961))</f>
        <v/>
      </c>
    </row>
    <row r="1963">
      <c r="N1963">
        <f>IF($A1963="","",IF(COUNTIFS($A$2:$A1963,$A1963,$C$2:$C1963,$C1963)=1,1,0))</f>
        <v/>
      </c>
      <c r="O1963">
        <f>IF($A1963="","",IF($B1963&lt;&gt;"",$B1963,$O1962))</f>
        <v/>
      </c>
    </row>
    <row r="1964">
      <c r="N1964">
        <f>IF($A1964="","",IF(COUNTIFS($A$2:$A1964,$A1964,$C$2:$C1964,$C1964)=1,1,0))</f>
        <v/>
      </c>
      <c r="O1964">
        <f>IF($A1964="","",IF($B1964&lt;&gt;"",$B1964,$O1963))</f>
        <v/>
      </c>
    </row>
    <row r="1965">
      <c r="N1965">
        <f>IF($A1965="","",IF(COUNTIFS($A$2:$A1965,$A1965,$C$2:$C1965,$C1965)=1,1,0))</f>
        <v/>
      </c>
      <c r="O1965">
        <f>IF($A1965="","",IF($B1965&lt;&gt;"",$B1965,$O1964))</f>
        <v/>
      </c>
    </row>
    <row r="1966">
      <c r="N1966">
        <f>IF($A1966="","",IF(COUNTIFS($A$2:$A1966,$A1966,$C$2:$C1966,$C1966)=1,1,0))</f>
        <v/>
      </c>
      <c r="O1966">
        <f>IF($A1966="","",IF($B1966&lt;&gt;"",$B1966,$O1965))</f>
        <v/>
      </c>
    </row>
    <row r="1967">
      <c r="N1967">
        <f>IF($A1967="","",IF(COUNTIFS($A$2:$A1967,$A1967,$C$2:$C1967,$C1967)=1,1,0))</f>
        <v/>
      </c>
      <c r="O1967">
        <f>IF($A1967="","",IF($B1967&lt;&gt;"",$B1967,$O1966))</f>
        <v/>
      </c>
    </row>
    <row r="1968">
      <c r="N1968">
        <f>IF($A1968="","",IF(COUNTIFS($A$2:$A1968,$A1968,$C$2:$C1968,$C1968)=1,1,0))</f>
        <v/>
      </c>
      <c r="O1968">
        <f>IF($A1968="","",IF($B1968&lt;&gt;"",$B1968,$O1967))</f>
        <v/>
      </c>
    </row>
    <row r="1969">
      <c r="N1969">
        <f>IF($A1969="","",IF(COUNTIFS($A$2:$A1969,$A1969,$C$2:$C1969,$C1969)=1,1,0))</f>
        <v/>
      </c>
      <c r="O1969">
        <f>IF($A1969="","",IF($B1969&lt;&gt;"",$B1969,$O1968))</f>
        <v/>
      </c>
    </row>
    <row r="1970">
      <c r="N1970">
        <f>IF($A1970="","",IF(COUNTIFS($A$2:$A1970,$A1970,$C$2:$C1970,$C1970)=1,1,0))</f>
        <v/>
      </c>
      <c r="O1970">
        <f>IF($A1970="","",IF($B1970&lt;&gt;"",$B1970,$O1969))</f>
        <v/>
      </c>
    </row>
    <row r="1971">
      <c r="N1971">
        <f>IF($A1971="","",IF(COUNTIFS($A$2:$A1971,$A1971,$C$2:$C1971,$C1971)=1,1,0))</f>
        <v/>
      </c>
      <c r="O1971">
        <f>IF($A1971="","",IF($B1971&lt;&gt;"",$B1971,$O1970))</f>
        <v/>
      </c>
    </row>
    <row r="1972">
      <c r="N1972">
        <f>IF($A1972="","",IF(COUNTIFS($A$2:$A1972,$A1972,$C$2:$C1972,$C1972)=1,1,0))</f>
        <v/>
      </c>
      <c r="O1972">
        <f>IF($A1972="","",IF($B1972&lt;&gt;"",$B1972,$O1971))</f>
        <v/>
      </c>
    </row>
    <row r="1973">
      <c r="N1973">
        <f>IF($A1973="","",IF(COUNTIFS($A$2:$A1973,$A1973,$C$2:$C1973,$C1973)=1,1,0))</f>
        <v/>
      </c>
      <c r="O1973">
        <f>IF($A1973="","",IF($B1973&lt;&gt;"",$B1973,$O1972))</f>
        <v/>
      </c>
    </row>
    <row r="1974">
      <c r="N1974">
        <f>IF($A1974="","",IF(COUNTIFS($A$2:$A1974,$A1974,$C$2:$C1974,$C1974)=1,1,0))</f>
        <v/>
      </c>
      <c r="O1974">
        <f>IF($A1974="","",IF($B1974&lt;&gt;"",$B1974,$O1973))</f>
        <v/>
      </c>
    </row>
    <row r="1975">
      <c r="N1975">
        <f>IF($A1975="","",IF(COUNTIFS($A$2:$A1975,$A1975,$C$2:$C1975,$C1975)=1,1,0))</f>
        <v/>
      </c>
      <c r="O1975">
        <f>IF($A1975="","",IF($B1975&lt;&gt;"",$B1975,$O1974))</f>
        <v/>
      </c>
    </row>
    <row r="1976">
      <c r="N1976">
        <f>IF($A1976="","",IF(COUNTIFS($A$2:$A1976,$A1976,$C$2:$C1976,$C1976)=1,1,0))</f>
        <v/>
      </c>
      <c r="O1976">
        <f>IF($A1976="","",IF($B1976&lt;&gt;"",$B1976,$O1975))</f>
        <v/>
      </c>
    </row>
    <row r="1977">
      <c r="N1977">
        <f>IF($A1977="","",IF(COUNTIFS($A$2:$A1977,$A1977,$C$2:$C1977,$C1977)=1,1,0))</f>
        <v/>
      </c>
      <c r="O1977">
        <f>IF($A1977="","",IF($B1977&lt;&gt;"",$B1977,$O1976))</f>
        <v/>
      </c>
    </row>
    <row r="1978">
      <c r="N1978">
        <f>IF($A1978="","",IF(COUNTIFS($A$2:$A1978,$A1978,$C$2:$C1978,$C1978)=1,1,0))</f>
        <v/>
      </c>
      <c r="O1978">
        <f>IF($A1978="","",IF($B1978&lt;&gt;"",$B1978,$O1977))</f>
        <v/>
      </c>
    </row>
    <row r="1979">
      <c r="N1979">
        <f>IF($A1979="","",IF(COUNTIFS($A$2:$A1979,$A1979,$C$2:$C1979,$C1979)=1,1,0))</f>
        <v/>
      </c>
      <c r="O1979">
        <f>IF($A1979="","",IF($B1979&lt;&gt;"",$B1979,$O1978))</f>
        <v/>
      </c>
    </row>
    <row r="1980">
      <c r="N1980">
        <f>IF($A1980="","",IF(COUNTIFS($A$2:$A1980,$A1980,$C$2:$C1980,$C1980)=1,1,0))</f>
        <v/>
      </c>
      <c r="O1980">
        <f>IF($A1980="","",IF($B1980&lt;&gt;"",$B1980,$O1979))</f>
        <v/>
      </c>
    </row>
    <row r="1981">
      <c r="N1981">
        <f>IF($A1981="","",IF(COUNTIFS($A$2:$A1981,$A1981,$C$2:$C1981,$C1981)=1,1,0))</f>
        <v/>
      </c>
      <c r="O1981">
        <f>IF($A1981="","",IF($B1981&lt;&gt;"",$B1981,$O1980))</f>
        <v/>
      </c>
    </row>
    <row r="1982">
      <c r="N1982">
        <f>IF($A1982="","",IF(COUNTIFS($A$2:$A1982,$A1982,$C$2:$C1982,$C1982)=1,1,0))</f>
        <v/>
      </c>
      <c r="O1982">
        <f>IF($A1982="","",IF($B1982&lt;&gt;"",$B1982,$O1981))</f>
        <v/>
      </c>
    </row>
    <row r="1983">
      <c r="N1983">
        <f>IF($A1983="","",IF(COUNTIFS($A$2:$A1983,$A1983,$C$2:$C1983,$C1983)=1,1,0))</f>
        <v/>
      </c>
      <c r="O1983">
        <f>IF($A1983="","",IF($B1983&lt;&gt;"",$B1983,$O1982))</f>
        <v/>
      </c>
    </row>
    <row r="1984">
      <c r="N1984">
        <f>IF($A1984="","",IF(COUNTIFS($A$2:$A1984,$A1984,$C$2:$C1984,$C1984)=1,1,0))</f>
        <v/>
      </c>
      <c r="O1984">
        <f>IF($A1984="","",IF($B1984&lt;&gt;"",$B1984,$O1983))</f>
        <v/>
      </c>
    </row>
    <row r="1985">
      <c r="N1985">
        <f>IF($A1985="","",IF(COUNTIFS($A$2:$A1985,$A1985,$C$2:$C1985,$C1985)=1,1,0))</f>
        <v/>
      </c>
      <c r="O1985">
        <f>IF($A1985="","",IF($B1985&lt;&gt;"",$B1985,$O1984))</f>
        <v/>
      </c>
    </row>
    <row r="1986">
      <c r="N1986">
        <f>IF($A1986="","",IF(COUNTIFS($A$2:$A1986,$A1986,$C$2:$C1986,$C1986)=1,1,0))</f>
        <v/>
      </c>
      <c r="O1986">
        <f>IF($A1986="","",IF($B1986&lt;&gt;"",$B1986,$O1985))</f>
        <v/>
      </c>
    </row>
    <row r="1987">
      <c r="N1987">
        <f>IF($A1987="","",IF(COUNTIFS($A$2:$A1987,$A1987,$C$2:$C1987,$C1987)=1,1,0))</f>
        <v/>
      </c>
      <c r="O1987">
        <f>IF($A1987="","",IF($B1987&lt;&gt;"",$B1987,$O1986))</f>
        <v/>
      </c>
    </row>
    <row r="1988">
      <c r="N1988">
        <f>IF($A1988="","",IF(COUNTIFS($A$2:$A1988,$A1988,$C$2:$C1988,$C1988)=1,1,0))</f>
        <v/>
      </c>
      <c r="O1988">
        <f>IF($A1988="","",IF($B1988&lt;&gt;"",$B1988,$O1987))</f>
        <v/>
      </c>
    </row>
    <row r="1989">
      <c r="N1989">
        <f>IF($A1989="","",IF(COUNTIFS($A$2:$A1989,$A1989,$C$2:$C1989,$C1989)=1,1,0))</f>
        <v/>
      </c>
      <c r="O1989">
        <f>IF($A1989="","",IF($B1989&lt;&gt;"",$B1989,$O1988))</f>
        <v/>
      </c>
    </row>
    <row r="1990">
      <c r="N1990">
        <f>IF($A1990="","",IF(COUNTIFS($A$2:$A1990,$A1990,$C$2:$C1990,$C1990)=1,1,0))</f>
        <v/>
      </c>
      <c r="O1990">
        <f>IF($A1990="","",IF($B1990&lt;&gt;"",$B1990,$O1989))</f>
        <v/>
      </c>
    </row>
    <row r="1991">
      <c r="N1991">
        <f>IF($A1991="","",IF(COUNTIFS($A$2:$A1991,$A1991,$C$2:$C1991,$C1991)=1,1,0))</f>
        <v/>
      </c>
      <c r="O1991">
        <f>IF($A1991="","",IF($B1991&lt;&gt;"",$B1991,$O1990))</f>
        <v/>
      </c>
    </row>
    <row r="1992">
      <c r="N1992">
        <f>IF($A1992="","",IF(COUNTIFS($A$2:$A1992,$A1992,$C$2:$C1992,$C1992)=1,1,0))</f>
        <v/>
      </c>
      <c r="O1992">
        <f>IF($A1992="","",IF($B1992&lt;&gt;"",$B1992,$O1991))</f>
        <v/>
      </c>
    </row>
    <row r="1993">
      <c r="N1993">
        <f>IF($A1993="","",IF(COUNTIFS($A$2:$A1993,$A1993,$C$2:$C1993,$C1993)=1,1,0))</f>
        <v/>
      </c>
      <c r="O1993">
        <f>IF($A1993="","",IF($B1993&lt;&gt;"",$B1993,$O1992))</f>
        <v/>
      </c>
    </row>
    <row r="1994">
      <c r="N1994">
        <f>IF($A1994="","",IF(COUNTIFS($A$2:$A1994,$A1994,$C$2:$C1994,$C1994)=1,1,0))</f>
        <v/>
      </c>
      <c r="O1994">
        <f>IF($A1994="","",IF($B1994&lt;&gt;"",$B1994,$O1993))</f>
        <v/>
      </c>
    </row>
    <row r="1995">
      <c r="N1995">
        <f>IF($A1995="","",IF(COUNTIFS($A$2:$A1995,$A1995,$C$2:$C1995,$C1995)=1,1,0))</f>
        <v/>
      </c>
      <c r="O1995">
        <f>IF($A1995="","",IF($B1995&lt;&gt;"",$B1995,$O1994))</f>
        <v/>
      </c>
    </row>
    <row r="1996">
      <c r="N1996">
        <f>IF($A1996="","",IF(COUNTIFS($A$2:$A1996,$A1996,$C$2:$C1996,$C1996)=1,1,0))</f>
        <v/>
      </c>
      <c r="O1996">
        <f>IF($A1996="","",IF($B1996&lt;&gt;"",$B1996,$O1995))</f>
        <v/>
      </c>
    </row>
    <row r="1997">
      <c r="N1997">
        <f>IF($A1997="","",IF(COUNTIFS($A$2:$A1997,$A1997,$C$2:$C1997,$C1997)=1,1,0))</f>
        <v/>
      </c>
      <c r="O1997">
        <f>IF($A1997="","",IF($B1997&lt;&gt;"",$B1997,$O1996))</f>
        <v/>
      </c>
    </row>
    <row r="1998">
      <c r="N1998">
        <f>IF($A1998="","",IF(COUNTIFS($A$2:$A1998,$A1998,$C$2:$C1998,$C1998)=1,1,0))</f>
        <v/>
      </c>
      <c r="O1998">
        <f>IF($A1998="","",IF($B1998&lt;&gt;"",$B1998,$O1997))</f>
        <v/>
      </c>
    </row>
    <row r="1999">
      <c r="N1999">
        <f>IF($A1999="","",IF(COUNTIFS($A$2:$A1999,$A1999,$C$2:$C1999,$C1999)=1,1,0))</f>
        <v/>
      </c>
      <c r="O1999">
        <f>IF($A1999="","",IF($B1999&lt;&gt;"",$B1999,$O1998))</f>
        <v/>
      </c>
    </row>
    <row r="2000">
      <c r="N2000">
        <f>IF($A2000="","",IF(COUNTIFS($A$2:$A2000,$A2000,$C$2:$C2000,$C2000)=1,1,0))</f>
        <v/>
      </c>
      <c r="O2000">
        <f>IF($A2000="","",IF($B2000&lt;&gt;"",$B2000,$O1999))</f>
        <v/>
      </c>
    </row>
    <row r="2001">
      <c r="N2001">
        <f>IF($A2001="","",IF(COUNTIFS($A$2:$A2001,$A2001,$C$2:$C2001,$C2001)=1,1,0))</f>
        <v/>
      </c>
      <c r="O2001">
        <f>IF($A2001="","",IF($B2001&lt;&gt;"",$B2001,$O2000))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" customWidth="1" min="2" max="2"/>
    <col width="20" customWidth="1" min="3" max="3"/>
  </cols>
  <sheetData>
    <row r="1">
      <c r="A1" s="3" t="inlineStr">
        <is>
          <t>Swing Gains -- Dashboard</t>
        </is>
      </c>
      <c r="F1" s="2" t="inlineStr">
        <is>
          <t>_RowCount</t>
        </is>
      </c>
      <c r="G1">
        <f>COUNTA(Data_Import!$A$2:$A$2001)</f>
        <v/>
      </c>
    </row>
    <row r="3">
      <c r="B3" s="4" t="inlineStr">
        <is>
          <t>Current block</t>
        </is>
      </c>
      <c r="C3">
        <f>IF($G$1=0,"-",INDEX(Data_Import!$O$2:$O$2001,$G$1))</f>
        <v/>
      </c>
    </row>
    <row r="4">
      <c r="B4" s="4" t="inlineStr">
        <is>
          <t>Sessions this block</t>
        </is>
      </c>
      <c r="C4">
        <f>IF($G$1=0,0,SUMPRODUCT((Data_Import!$O$2:$O$2001=$C$3)*(Data_Import!$N$2:$N$2001)))</f>
        <v/>
      </c>
    </row>
    <row r="5">
      <c r="B5" s="4" t="inlineStr">
        <is>
          <t>Latest swing speed (mph)</t>
        </is>
      </c>
      <c r="C5">
        <f>IFERROR(INDEX(Data_Import!$K$2:$K$2001,SUMPRODUCT(MAX((Data_Import!$J$2:$J$2001="swing_speed")*(ROW(Data_Import!$J$2:$J$2001)-ROW(INDEX(Data_Import!$J$2:$J$2001,1,1))+1)))),"-")</f>
        <v/>
      </c>
    </row>
    <row r="6">
      <c r="B6" s="4" t="inlineStr">
        <is>
          <t>Latest ROM -- hip switch (grade)</t>
        </is>
      </c>
      <c r="C6">
        <f>IFERROR(INDEX(Data_Import!$K$2:$K$2001,SUMPRODUCT(MAX((Data_Import!$J$2:$J$2001="rom_hip")*(ROW(Data_Import!$J$2:$J$2001)-ROW(INDEX(Data_Import!$J$2:$J$2001,1,1))+1)))),"-")</f>
        <v/>
      </c>
    </row>
    <row r="7">
      <c r="B7" s="4" t="inlineStr">
        <is>
          <t>Latest ROM -- thoracic (deg)</t>
        </is>
      </c>
      <c r="C7">
        <f>IFERROR(INDEX(Data_Import!$K$2:$K$2001,SUMPRODUCT(MAX((Data_Import!$J$2:$J$2001="rom_thoracic")*(ROW(Data_Import!$J$2:$J$2001)-ROW(INDEX(Data_Import!$J$2:$J$2001,1,1))+1)))),"-")</f>
        <v/>
      </c>
    </row>
    <row r="8">
      <c r="B8" s="4" t="inlineStr">
        <is>
          <t>Latest ROM -- toe reach (cm)</t>
        </is>
      </c>
      <c r="C8">
        <f>IFERROR(INDEX(Data_Import!$K$2:$K$2001,SUMPRODUCT(MAX((Data_Import!$J$2:$J$2001="rom_reach")*(ROW(Data_Import!$J$2:$J$2001)-ROW(INDEX(Data_Import!$J$2:$J$2001,1,1))+1)))),"-")</f>
        <v/>
      </c>
    </row>
    <row r="10">
      <c r="B10" s="4" t="inlineStr">
        <is>
          <t>Latest load -- Back squat (barbell) (kg)</t>
        </is>
      </c>
      <c r="C10">
        <f>IFERROR(INDEX(Data_Import!$H$2:$H$2001,SUMPRODUCT(MAX((Data_Import!$E$2:$E$2001="Back squat (barbell)")*(ROW(Data_Import!$E$2:$E$2001)-ROW(INDEX(Data_Import!$E$2:$E$2001,1,1))+1)))),"-")</f>
        <v/>
      </c>
    </row>
    <row r="11">
      <c r="B11" s="4" t="inlineStr">
        <is>
          <t>Latest load -- Bench press (barbell) (kg)</t>
        </is>
      </c>
      <c r="C11">
        <f>IFERROR(INDEX(Data_Import!$H$2:$H$2001,SUMPRODUCT(MAX((Data_Import!$E$2:$E$2001="Bench press (barbell)")*(ROW(Data_Import!$E$2:$E$2001)-ROW(INDEX(Data_Import!$E$2:$E$2001,1,1))+1)))),"-")</f>
        <v/>
      </c>
    </row>
    <row r="13">
      <c r="B13" s="2" t="inlineStr">
        <is>
          <t>See Lift_Trends / Speed_and_ROM / Weakness_Panel sheets for detail.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</cols>
  <sheetData>
    <row r="1">
      <c r="A1" s="3" t="inlineStr">
        <is>
          <t>Load progression per main lift, by block</t>
        </is>
      </c>
      <c r="F1" s="2" t="inlineStr">
        <is>
          <t>Add another lift: copy a column's formula pattern into the next free column.</t>
        </is>
      </c>
    </row>
    <row r="3">
      <c r="A3" s="1" t="inlineStr">
        <is>
          <t>Block</t>
        </is>
      </c>
      <c r="B3" s="1" t="inlineStr">
        <is>
          <t>Back squat (barbell)</t>
        </is>
      </c>
      <c r="C3" s="1" t="inlineStr">
        <is>
          <t>Bench press (barbell)</t>
        </is>
      </c>
    </row>
    <row r="4">
      <c r="A4" t="n">
        <v>1</v>
      </c>
      <c r="B4">
        <f>IF(COUNTIFS(Data_Import!$O:$O,"Block "&amp;$A4&amp;": *",Data_Import!$E:$E,B$3)=0,"",MAXIFS(Data_Import!$H:$H,Data_Import!$O:$O,"Block "&amp;$A4&amp;": *",Data_Import!$E:$E,B$3))</f>
        <v/>
      </c>
      <c r="C4">
        <f>IF(COUNTIFS(Data_Import!$O:$O,"Block "&amp;$A4&amp;": *",Data_Import!$E:$E,C$3)=0,"",MAXIFS(Data_Import!$H:$H,Data_Import!$O:$O,"Block "&amp;$A4&amp;": *",Data_Import!$E:$E,C$3))</f>
        <v/>
      </c>
    </row>
    <row r="5">
      <c r="A5" t="n">
        <v>2</v>
      </c>
      <c r="B5">
        <f>IF(COUNTIFS(Data_Import!$O:$O,"Block "&amp;$A5&amp;": *",Data_Import!$E:$E,B$3)=0,"",MAXIFS(Data_Import!$H:$H,Data_Import!$O:$O,"Block "&amp;$A5&amp;": *",Data_Import!$E:$E,B$3))</f>
        <v/>
      </c>
      <c r="C5">
        <f>IF(COUNTIFS(Data_Import!$O:$O,"Block "&amp;$A5&amp;": *",Data_Import!$E:$E,C$3)=0,"",MAXIFS(Data_Import!$H:$H,Data_Import!$O:$O,"Block "&amp;$A5&amp;": *",Data_Import!$E:$E,C$3))</f>
        <v/>
      </c>
    </row>
    <row r="6">
      <c r="A6" t="n">
        <v>3</v>
      </c>
      <c r="B6">
        <f>IF(COUNTIFS(Data_Import!$O:$O,"Block "&amp;$A6&amp;": *",Data_Import!$E:$E,B$3)=0,"",MAXIFS(Data_Import!$H:$H,Data_Import!$O:$O,"Block "&amp;$A6&amp;": *",Data_Import!$E:$E,B$3))</f>
        <v/>
      </c>
      <c r="C6">
        <f>IF(COUNTIFS(Data_Import!$O:$O,"Block "&amp;$A6&amp;": *",Data_Import!$E:$E,C$3)=0,"",MAXIFS(Data_Import!$H:$H,Data_Import!$O:$O,"Block "&amp;$A6&amp;": *",Data_Import!$E:$E,C$3))</f>
        <v/>
      </c>
    </row>
    <row r="7">
      <c r="A7" t="n">
        <v>4</v>
      </c>
      <c r="B7">
        <f>IF(COUNTIFS(Data_Import!$O:$O,"Block "&amp;$A7&amp;": *",Data_Import!$E:$E,B$3)=0,"",MAXIFS(Data_Import!$H:$H,Data_Import!$O:$O,"Block "&amp;$A7&amp;": *",Data_Import!$E:$E,B$3))</f>
        <v/>
      </c>
      <c r="C7">
        <f>IF(COUNTIFS(Data_Import!$O:$O,"Block "&amp;$A7&amp;": *",Data_Import!$E:$E,C$3)=0,"",MAXIFS(Data_Import!$H:$H,Data_Import!$O:$O,"Block "&amp;$A7&amp;": *",Data_Import!$E:$E,C$3))</f>
        <v/>
      </c>
    </row>
    <row r="8">
      <c r="A8" t="n">
        <v>5</v>
      </c>
      <c r="B8">
        <f>IF(COUNTIFS(Data_Import!$O:$O,"Block "&amp;$A8&amp;": *",Data_Import!$E:$E,B$3)=0,"",MAXIFS(Data_Import!$H:$H,Data_Import!$O:$O,"Block "&amp;$A8&amp;": *",Data_Import!$E:$E,B$3))</f>
        <v/>
      </c>
      <c r="C8">
        <f>IF(COUNTIFS(Data_Import!$O:$O,"Block "&amp;$A8&amp;": *",Data_Import!$E:$E,C$3)=0,"",MAXIFS(Data_Import!$H:$H,Data_Import!$O:$O,"Block "&amp;$A8&amp;": *",Data_Import!$E:$E,C$3))</f>
        <v/>
      </c>
    </row>
    <row r="9">
      <c r="A9" t="n">
        <v>6</v>
      </c>
      <c r="B9">
        <f>IF(COUNTIFS(Data_Import!$O:$O,"Block "&amp;$A9&amp;": *",Data_Import!$E:$E,B$3)=0,"",MAXIFS(Data_Import!$H:$H,Data_Import!$O:$O,"Block "&amp;$A9&amp;": *",Data_Import!$E:$E,B$3))</f>
        <v/>
      </c>
      <c r="C9">
        <f>IF(COUNTIFS(Data_Import!$O:$O,"Block "&amp;$A9&amp;": *",Data_Import!$E:$E,C$3)=0,"",MAXIFS(Data_Import!$H:$H,Data_Import!$O:$O,"Block "&amp;$A9&amp;": *",Data_Import!$E:$E,C$3))</f>
        <v/>
      </c>
    </row>
    <row r="10">
      <c r="A10" t="n">
        <v>7</v>
      </c>
      <c r="B10">
        <f>IF(COUNTIFS(Data_Import!$O:$O,"Block "&amp;$A10&amp;": *",Data_Import!$E:$E,B$3)=0,"",MAXIFS(Data_Import!$H:$H,Data_Import!$O:$O,"Block "&amp;$A10&amp;": *",Data_Import!$E:$E,B$3))</f>
        <v/>
      </c>
      <c r="C10">
        <f>IF(COUNTIFS(Data_Import!$O:$O,"Block "&amp;$A10&amp;": *",Data_Import!$E:$E,C$3)=0,"",MAXIFS(Data_Import!$H:$H,Data_Import!$O:$O,"Block "&amp;$A10&amp;": *",Data_Import!$E:$E,C$3))</f>
        <v/>
      </c>
    </row>
    <row r="11">
      <c r="A11" t="n">
        <v>8</v>
      </c>
      <c r="B11">
        <f>IF(COUNTIFS(Data_Import!$O:$O,"Block "&amp;$A11&amp;": *",Data_Import!$E:$E,B$3)=0,"",MAXIFS(Data_Import!$H:$H,Data_Import!$O:$O,"Block "&amp;$A11&amp;": *",Data_Import!$E:$E,B$3))</f>
        <v/>
      </c>
      <c r="C11">
        <f>IF(COUNTIFS(Data_Import!$O:$O,"Block "&amp;$A11&amp;": *",Data_Import!$E:$E,C$3)=0,"",MAXIFS(Data_Import!$H:$H,Data_Import!$O:$O,"Block "&amp;$A11&amp;": *",Data_Import!$E:$E,C$3))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Swing speed trend and ROM scores, by block</t>
        </is>
      </c>
    </row>
    <row r="3">
      <c r="A3" s="1" t="inlineStr">
        <is>
          <t>Block</t>
        </is>
      </c>
      <c r="B3" s="1" t="inlineStr">
        <is>
          <t>Swing speed (mph)</t>
        </is>
      </c>
      <c r="C3" s="1" t="inlineStr">
        <is>
          <t>ROM -- hip (grade)</t>
        </is>
      </c>
      <c r="D3" s="1" t="inlineStr">
        <is>
          <t>ROM -- thoracic (deg)</t>
        </is>
      </c>
      <c r="E3" s="1" t="inlineStr">
        <is>
          <t>ROM -- reach (cm)</t>
        </is>
      </c>
    </row>
    <row r="4">
      <c r="A4" t="n">
        <v>1</v>
      </c>
      <c r="B4">
        <f>IF(COUNTIFS(Data_Import!$O:$O,"Block "&amp;$A4&amp;": *",Data_Import!$J:$J,"swing_speed")=0,"",AVERAGEIFS(Data_Import!$K:$K,Data_Import!$O:$O,"Block "&amp;$A4&amp;": *",Data_Import!$J:$J,"swing_speed"))</f>
        <v/>
      </c>
      <c r="C4">
        <f>IF(COUNTIFS(Data_Import!$O:$O,"Block "&amp;$A4&amp;": *",Data_Import!$J:$J,"rom_hip")=0,"",AVERAGEIFS(Data_Import!$K:$K,Data_Import!$O:$O,"Block "&amp;$A4&amp;": *",Data_Import!$J:$J,"rom_hip"))</f>
        <v/>
      </c>
      <c r="D4">
        <f>IF(COUNTIFS(Data_Import!$O:$O,"Block "&amp;$A4&amp;": *",Data_Import!$J:$J,"rom_thoracic")=0,"",AVERAGEIFS(Data_Import!$K:$K,Data_Import!$O:$O,"Block "&amp;$A4&amp;": *",Data_Import!$J:$J,"rom_thoracic"))</f>
        <v/>
      </c>
      <c r="E4">
        <f>IF(COUNTIFS(Data_Import!$O:$O,"Block "&amp;$A4&amp;": *",Data_Import!$J:$J,"rom_reach")=0,"",AVERAGEIFS(Data_Import!$K:$K,Data_Import!$O:$O,"Block "&amp;$A4&amp;": *",Data_Import!$J:$J,"rom_reach"))</f>
        <v/>
      </c>
    </row>
    <row r="5">
      <c r="A5" t="n">
        <v>2</v>
      </c>
      <c r="B5">
        <f>IF(COUNTIFS(Data_Import!$O:$O,"Block "&amp;$A5&amp;": *",Data_Import!$J:$J,"swing_speed")=0,"",AVERAGEIFS(Data_Import!$K:$K,Data_Import!$O:$O,"Block "&amp;$A5&amp;": *",Data_Import!$J:$J,"swing_speed"))</f>
        <v/>
      </c>
      <c r="C5">
        <f>IF(COUNTIFS(Data_Import!$O:$O,"Block "&amp;$A5&amp;": *",Data_Import!$J:$J,"rom_hip")=0,"",AVERAGEIFS(Data_Import!$K:$K,Data_Import!$O:$O,"Block "&amp;$A5&amp;": *",Data_Import!$J:$J,"rom_hip"))</f>
        <v/>
      </c>
      <c r="D5">
        <f>IF(COUNTIFS(Data_Import!$O:$O,"Block "&amp;$A5&amp;": *",Data_Import!$J:$J,"rom_thoracic")=0,"",AVERAGEIFS(Data_Import!$K:$K,Data_Import!$O:$O,"Block "&amp;$A5&amp;": *",Data_Import!$J:$J,"rom_thoracic"))</f>
        <v/>
      </c>
      <c r="E5">
        <f>IF(COUNTIFS(Data_Import!$O:$O,"Block "&amp;$A5&amp;": *",Data_Import!$J:$J,"rom_reach")=0,"",AVERAGEIFS(Data_Import!$K:$K,Data_Import!$O:$O,"Block "&amp;$A5&amp;": *",Data_Import!$J:$J,"rom_reach"))</f>
        <v/>
      </c>
    </row>
    <row r="6">
      <c r="A6" t="n">
        <v>3</v>
      </c>
      <c r="B6">
        <f>IF(COUNTIFS(Data_Import!$O:$O,"Block "&amp;$A6&amp;": *",Data_Import!$J:$J,"swing_speed")=0,"",AVERAGEIFS(Data_Import!$K:$K,Data_Import!$O:$O,"Block "&amp;$A6&amp;": *",Data_Import!$J:$J,"swing_speed"))</f>
        <v/>
      </c>
      <c r="C6">
        <f>IF(COUNTIFS(Data_Import!$O:$O,"Block "&amp;$A6&amp;": *",Data_Import!$J:$J,"rom_hip")=0,"",AVERAGEIFS(Data_Import!$K:$K,Data_Import!$O:$O,"Block "&amp;$A6&amp;": *",Data_Import!$J:$J,"rom_hip"))</f>
        <v/>
      </c>
      <c r="D6">
        <f>IF(COUNTIFS(Data_Import!$O:$O,"Block "&amp;$A6&amp;": *",Data_Import!$J:$J,"rom_thoracic")=0,"",AVERAGEIFS(Data_Import!$K:$K,Data_Import!$O:$O,"Block "&amp;$A6&amp;": *",Data_Import!$J:$J,"rom_thoracic"))</f>
        <v/>
      </c>
      <c r="E6">
        <f>IF(COUNTIFS(Data_Import!$O:$O,"Block "&amp;$A6&amp;": *",Data_Import!$J:$J,"rom_reach")=0,"",AVERAGEIFS(Data_Import!$K:$K,Data_Import!$O:$O,"Block "&amp;$A6&amp;": *",Data_Import!$J:$J,"rom_reach"))</f>
        <v/>
      </c>
    </row>
    <row r="7">
      <c r="A7" t="n">
        <v>4</v>
      </c>
      <c r="B7">
        <f>IF(COUNTIFS(Data_Import!$O:$O,"Block "&amp;$A7&amp;": *",Data_Import!$J:$J,"swing_speed")=0,"",AVERAGEIFS(Data_Import!$K:$K,Data_Import!$O:$O,"Block "&amp;$A7&amp;": *",Data_Import!$J:$J,"swing_speed"))</f>
        <v/>
      </c>
      <c r="C7">
        <f>IF(COUNTIFS(Data_Import!$O:$O,"Block "&amp;$A7&amp;": *",Data_Import!$J:$J,"rom_hip")=0,"",AVERAGEIFS(Data_Import!$K:$K,Data_Import!$O:$O,"Block "&amp;$A7&amp;": *",Data_Import!$J:$J,"rom_hip"))</f>
        <v/>
      </c>
      <c r="D7">
        <f>IF(COUNTIFS(Data_Import!$O:$O,"Block "&amp;$A7&amp;": *",Data_Import!$J:$J,"rom_thoracic")=0,"",AVERAGEIFS(Data_Import!$K:$K,Data_Import!$O:$O,"Block "&amp;$A7&amp;": *",Data_Import!$J:$J,"rom_thoracic"))</f>
        <v/>
      </c>
      <c r="E7">
        <f>IF(COUNTIFS(Data_Import!$O:$O,"Block "&amp;$A7&amp;": *",Data_Import!$J:$J,"rom_reach")=0,"",AVERAGEIFS(Data_Import!$K:$K,Data_Import!$O:$O,"Block "&amp;$A7&amp;": *",Data_Import!$J:$J,"rom_reach"))</f>
        <v/>
      </c>
    </row>
    <row r="8">
      <c r="A8" t="n">
        <v>5</v>
      </c>
      <c r="B8">
        <f>IF(COUNTIFS(Data_Import!$O:$O,"Block "&amp;$A8&amp;": *",Data_Import!$J:$J,"swing_speed")=0,"",AVERAGEIFS(Data_Import!$K:$K,Data_Import!$O:$O,"Block "&amp;$A8&amp;": *",Data_Import!$J:$J,"swing_speed"))</f>
        <v/>
      </c>
      <c r="C8">
        <f>IF(COUNTIFS(Data_Import!$O:$O,"Block "&amp;$A8&amp;": *",Data_Import!$J:$J,"rom_hip")=0,"",AVERAGEIFS(Data_Import!$K:$K,Data_Import!$O:$O,"Block "&amp;$A8&amp;": *",Data_Import!$J:$J,"rom_hip"))</f>
        <v/>
      </c>
      <c r="D8">
        <f>IF(COUNTIFS(Data_Import!$O:$O,"Block "&amp;$A8&amp;": *",Data_Import!$J:$J,"rom_thoracic")=0,"",AVERAGEIFS(Data_Import!$K:$K,Data_Import!$O:$O,"Block "&amp;$A8&amp;": *",Data_Import!$J:$J,"rom_thoracic"))</f>
        <v/>
      </c>
      <c r="E8">
        <f>IF(COUNTIFS(Data_Import!$O:$O,"Block "&amp;$A8&amp;": *",Data_Import!$J:$J,"rom_reach")=0,"",AVERAGEIFS(Data_Import!$K:$K,Data_Import!$O:$O,"Block "&amp;$A8&amp;": *",Data_Import!$J:$J,"rom_reach"))</f>
        <v/>
      </c>
    </row>
    <row r="9">
      <c r="A9" t="n">
        <v>6</v>
      </c>
      <c r="B9">
        <f>IF(COUNTIFS(Data_Import!$O:$O,"Block "&amp;$A9&amp;": *",Data_Import!$J:$J,"swing_speed")=0,"",AVERAGEIFS(Data_Import!$K:$K,Data_Import!$O:$O,"Block "&amp;$A9&amp;": *",Data_Import!$J:$J,"swing_speed"))</f>
        <v/>
      </c>
      <c r="C9">
        <f>IF(COUNTIFS(Data_Import!$O:$O,"Block "&amp;$A9&amp;": *",Data_Import!$J:$J,"rom_hip")=0,"",AVERAGEIFS(Data_Import!$K:$K,Data_Import!$O:$O,"Block "&amp;$A9&amp;": *",Data_Import!$J:$J,"rom_hip"))</f>
        <v/>
      </c>
      <c r="D9">
        <f>IF(COUNTIFS(Data_Import!$O:$O,"Block "&amp;$A9&amp;": *",Data_Import!$J:$J,"rom_thoracic")=0,"",AVERAGEIFS(Data_Import!$K:$K,Data_Import!$O:$O,"Block "&amp;$A9&amp;": *",Data_Import!$J:$J,"rom_thoracic"))</f>
        <v/>
      </c>
      <c r="E9">
        <f>IF(COUNTIFS(Data_Import!$O:$O,"Block "&amp;$A9&amp;": *",Data_Import!$J:$J,"rom_reach")=0,"",AVERAGEIFS(Data_Import!$K:$K,Data_Import!$O:$O,"Block "&amp;$A9&amp;": *",Data_Import!$J:$J,"rom_reach"))</f>
        <v/>
      </c>
    </row>
    <row r="10">
      <c r="A10" t="n">
        <v>7</v>
      </c>
      <c r="B10">
        <f>IF(COUNTIFS(Data_Import!$O:$O,"Block "&amp;$A10&amp;": *",Data_Import!$J:$J,"swing_speed")=0,"",AVERAGEIFS(Data_Import!$K:$K,Data_Import!$O:$O,"Block "&amp;$A10&amp;": *",Data_Import!$J:$J,"swing_speed"))</f>
        <v/>
      </c>
      <c r="C10">
        <f>IF(COUNTIFS(Data_Import!$O:$O,"Block "&amp;$A10&amp;": *",Data_Import!$J:$J,"rom_hip")=0,"",AVERAGEIFS(Data_Import!$K:$K,Data_Import!$O:$O,"Block "&amp;$A10&amp;": *",Data_Import!$J:$J,"rom_hip"))</f>
        <v/>
      </c>
      <c r="D10">
        <f>IF(COUNTIFS(Data_Import!$O:$O,"Block "&amp;$A10&amp;": *",Data_Import!$J:$J,"rom_thoracic")=0,"",AVERAGEIFS(Data_Import!$K:$K,Data_Import!$O:$O,"Block "&amp;$A10&amp;": *",Data_Import!$J:$J,"rom_thoracic"))</f>
        <v/>
      </c>
      <c r="E10">
        <f>IF(COUNTIFS(Data_Import!$O:$O,"Block "&amp;$A10&amp;": *",Data_Import!$J:$J,"rom_reach")=0,"",AVERAGEIFS(Data_Import!$K:$K,Data_Import!$O:$O,"Block "&amp;$A10&amp;": *",Data_Import!$J:$J,"rom_reach"))</f>
        <v/>
      </c>
    </row>
    <row r="11">
      <c r="A11" t="n">
        <v>8</v>
      </c>
      <c r="B11">
        <f>IF(COUNTIFS(Data_Import!$O:$O,"Block "&amp;$A11&amp;": *",Data_Import!$J:$J,"swing_speed")=0,"",AVERAGEIFS(Data_Import!$K:$K,Data_Import!$O:$O,"Block "&amp;$A11&amp;": *",Data_Import!$J:$J,"swing_speed"))</f>
        <v/>
      </c>
      <c r="C11">
        <f>IF(COUNTIFS(Data_Import!$O:$O,"Block "&amp;$A11&amp;": *",Data_Import!$J:$J,"rom_hip")=0,"",AVERAGEIFS(Data_Import!$K:$K,Data_Import!$O:$O,"Block "&amp;$A11&amp;": *",Data_Import!$J:$J,"rom_hip"))</f>
        <v/>
      </c>
      <c r="D11">
        <f>IF(COUNTIFS(Data_Import!$O:$O,"Block "&amp;$A11&amp;": *",Data_Import!$J:$J,"rom_thoracic")=0,"",AVERAGEIFS(Data_Import!$K:$K,Data_Import!$O:$O,"Block "&amp;$A11&amp;": *",Data_Import!$J:$J,"rom_thoracic"))</f>
        <v/>
      </c>
      <c r="E11">
        <f>IF(COUNTIFS(Data_Import!$O:$O,"Block "&amp;$A11&amp;": *",Data_Import!$J:$J,"rom_reach")=0,"",AVERAGEIFS(Data_Import!$K:$K,Data_Import!$O:$O,"Block "&amp;$A11&amp;": *",Data_Import!$J:$J,"rom_reach"))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3" t="inlineStr">
        <is>
          <t>Weakness panel -- spec sec8.2 RAG signals</t>
        </is>
      </c>
    </row>
    <row r="2">
      <c r="A2" s="2" t="inlineStr">
        <is>
          <t>Completed block = any block with data except the current one (Dashboard!C3). See tools/build_progress_tracker.py for the exact formula reading of each signal.</t>
        </is>
      </c>
    </row>
    <row r="4">
      <c r="A4" s="1" t="inlineStr">
        <is>
          <t>Block</t>
        </is>
      </c>
      <c r="B4" s="1" t="inlineStr">
        <is>
          <t>Is completed?</t>
        </is>
      </c>
      <c r="C4" s="1" t="inlineStr">
        <is>
          <t>Back squat (barbell): max</t>
        </is>
      </c>
      <c r="D4" s="1" t="inlineStr">
        <is>
          <t>Back squat (barbell): min</t>
        </is>
      </c>
      <c r="E4" s="1" t="inlineStr">
        <is>
          <t>Back squat (barbell): STALLED?</t>
        </is>
      </c>
      <c r="F4" s="1" t="inlineStr">
        <is>
          <t>Bench press (barbell): max</t>
        </is>
      </c>
      <c r="G4" s="1" t="inlineStr">
        <is>
          <t>Bench press (barbell): min</t>
        </is>
      </c>
      <c r="H4" s="1" t="inlineStr">
        <is>
          <t>Bench press (barbell): STALLED?</t>
        </is>
      </c>
      <c r="I4" s="1" t="inlineStr">
        <is>
          <t>Swing speed avg</t>
        </is>
      </c>
      <c r="J4" s="1" t="inlineStr">
        <is>
          <t>ROM hip avg</t>
        </is>
      </c>
      <c r="K4" s="1" t="inlineStr">
        <is>
          <t>ROM STAGNANT? (vs previous block)</t>
        </is>
      </c>
      <c r="L4" s="1" t="inlineStr">
        <is>
          <t>Back squat (barbell): SPEED PLATEAU?</t>
        </is>
      </c>
      <c r="M4" s="1" t="inlineStr">
        <is>
          <t>Bench press (barbell): SPEED PLATEAU?</t>
        </is>
      </c>
    </row>
    <row r="5">
      <c r="A5" t="n">
        <v>1</v>
      </c>
      <c r="B5">
        <f>IF(COUNTIFS(Data_Import!$O:$O,"Block "&amp;$A5&amp;": *")=0,"no data",IF($A5=IFERROR(VALUE(MID(Dashboard!$C$3,7,FIND(":",Dashboard!$C$3)-7)),-1),"in progress","completed"))</f>
        <v/>
      </c>
      <c r="C5">
        <f>IF(COUNTIFS(Data_Import!$O:$O,"Block "&amp;$A5&amp;": *",Data_Import!$E:$E,"Back squat (barbell)")=0,"",MAXIFS(Data_Import!$H:$H,Data_Import!$O:$O,"Block "&amp;$A5&amp;": *",Data_Import!$E:$E,"Back squat (barbell)"))</f>
        <v/>
      </c>
      <c r="D5">
        <f>IF(COUNTIFS(Data_Import!$O:$O,"Block "&amp;$A5&amp;": *",Data_Import!$E:$E,"Back squat (barbell)")=0,"",MINIFS(Data_Import!$H:$H,Data_Import!$O:$O,"Block "&amp;$A5&amp;": *",Data_Import!$E:$E,"Back squat (barbell)"))</f>
        <v/>
      </c>
      <c r="E5">
        <f>IF(OR(C5="",$B5&lt;&gt;"completed"),"",IF(C5&lt;=D5,"STALLED","ok"))</f>
        <v/>
      </c>
      <c r="F5">
        <f>IF(COUNTIFS(Data_Import!$O:$O,"Block "&amp;$A5&amp;": *",Data_Import!$E:$E,"Bench press (barbell)")=0,"",MAXIFS(Data_Import!$H:$H,Data_Import!$O:$O,"Block "&amp;$A5&amp;": *",Data_Import!$E:$E,"Bench press (barbell)"))</f>
        <v/>
      </c>
      <c r="G5">
        <f>IF(COUNTIFS(Data_Import!$O:$O,"Block "&amp;$A5&amp;": *",Data_Import!$E:$E,"Bench press (barbell)")=0,"",MINIFS(Data_Import!$H:$H,Data_Import!$O:$O,"Block "&amp;$A5&amp;": *",Data_Import!$E:$E,"Bench press (barbell)"))</f>
        <v/>
      </c>
      <c r="H5">
        <f>IF(OR(F5="",$B5&lt;&gt;"completed"),"",IF(F5&lt;=G5,"STALLED","ok"))</f>
        <v/>
      </c>
      <c r="I5">
        <f>IF(COUNTIFS(Data_Import!$O:$O,"Block "&amp;$A5&amp;": *",Data_Import!$J:$J,"swing_speed")=0,"",AVERAGEIFS(Data_Import!$K:$K,Data_Import!$O:$O,"Block "&amp;$A5&amp;": *",Data_Import!$J:$J,"swing_speed"))</f>
        <v/>
      </c>
      <c r="J5">
        <f>IF(COUNTIFS(Data_Import!$O:$O,"Block "&amp;$A5&amp;": *",Data_Import!$J:$J,"rom_hip")=0,"",AVERAGEIFS(Data_Import!$K:$K,Data_Import!$O:$O,"Block "&amp;$A5&amp;": *",Data_Import!$J:$J,"rom_hip"))</f>
        <v/>
      </c>
      <c r="K5" t="inlineStr"/>
      <c r="L5" t="inlineStr"/>
      <c r="M5" t="inlineStr"/>
    </row>
    <row r="6">
      <c r="A6" t="n">
        <v>2</v>
      </c>
      <c r="B6">
        <f>IF(COUNTIFS(Data_Import!$O:$O,"Block "&amp;$A6&amp;": *")=0,"no data",IF($A6=IFERROR(VALUE(MID(Dashboard!$C$3,7,FIND(":",Dashboard!$C$3)-7)),-1),"in progress","completed"))</f>
        <v/>
      </c>
      <c r="C6">
        <f>IF(COUNTIFS(Data_Import!$O:$O,"Block "&amp;$A6&amp;": *",Data_Import!$E:$E,"Back squat (barbell)")=0,"",MAXIFS(Data_Import!$H:$H,Data_Import!$O:$O,"Block "&amp;$A6&amp;": *",Data_Import!$E:$E,"Back squat (barbell)"))</f>
        <v/>
      </c>
      <c r="D6">
        <f>IF(COUNTIFS(Data_Import!$O:$O,"Block "&amp;$A6&amp;": *",Data_Import!$E:$E,"Back squat (barbell)")=0,"",MINIFS(Data_Import!$H:$H,Data_Import!$O:$O,"Block "&amp;$A6&amp;": *",Data_Import!$E:$E,"Back squat (barbell)"))</f>
        <v/>
      </c>
      <c r="E6">
        <f>IF(OR(C6="",$B6&lt;&gt;"completed"),"",IF(C6&lt;=D6,"STALLED","ok"))</f>
        <v/>
      </c>
      <c r="F6">
        <f>IF(COUNTIFS(Data_Import!$O:$O,"Block "&amp;$A6&amp;": *",Data_Import!$E:$E,"Bench press (barbell)")=0,"",MAXIFS(Data_Import!$H:$H,Data_Import!$O:$O,"Block "&amp;$A6&amp;": *",Data_Import!$E:$E,"Bench press (barbell)"))</f>
        <v/>
      </c>
      <c r="G6">
        <f>IF(COUNTIFS(Data_Import!$O:$O,"Block "&amp;$A6&amp;": *",Data_Import!$E:$E,"Bench press (barbell)")=0,"",MINIFS(Data_Import!$H:$H,Data_Import!$O:$O,"Block "&amp;$A6&amp;": *",Data_Import!$E:$E,"Bench press (barbell)"))</f>
        <v/>
      </c>
      <c r="H6">
        <f>IF(OR(F6="",$B6&lt;&gt;"completed"),"",IF(F6&lt;=G6,"STALLED","ok"))</f>
        <v/>
      </c>
      <c r="I6">
        <f>IF(COUNTIFS(Data_Import!$O:$O,"Block "&amp;$A6&amp;": *",Data_Import!$J:$J,"swing_speed")=0,"",AVERAGEIFS(Data_Import!$K:$K,Data_Import!$O:$O,"Block "&amp;$A6&amp;": *",Data_Import!$J:$J,"swing_speed"))</f>
        <v/>
      </c>
      <c r="J6">
        <f>IF(COUNTIFS(Data_Import!$O:$O,"Block "&amp;$A6&amp;": *",Data_Import!$J:$J,"rom_hip")=0,"",AVERAGEIFS(Data_Import!$K:$K,Data_Import!$O:$O,"Block "&amp;$A6&amp;": *",Data_Import!$J:$J,"rom_hip"))</f>
        <v/>
      </c>
      <c r="K6">
        <f>IF(OR(J6="",J5="",B6&lt;&gt;"completed"),"",IF(J6=J5,"STAGNANT","ok"))</f>
        <v/>
      </c>
      <c r="L6">
        <f>IF(OR(C6="",I6="",I5="",B6&lt;&gt;"completed"),"",IF(AND(C6&gt;D6,I6&lt;=I5),"PLATEAU","ok"))</f>
        <v/>
      </c>
      <c r="M6">
        <f>IF(OR(F6="",I6="",I5="",B6&lt;&gt;"completed"),"",IF(AND(F6&gt;G6,I6&lt;=I5),"PLATEAU","ok"))</f>
        <v/>
      </c>
    </row>
    <row r="7">
      <c r="A7" t="n">
        <v>3</v>
      </c>
      <c r="B7">
        <f>IF(COUNTIFS(Data_Import!$O:$O,"Block "&amp;$A7&amp;": *")=0,"no data",IF($A7=IFERROR(VALUE(MID(Dashboard!$C$3,7,FIND(":",Dashboard!$C$3)-7)),-1),"in progress","completed"))</f>
        <v/>
      </c>
      <c r="C7">
        <f>IF(COUNTIFS(Data_Import!$O:$O,"Block "&amp;$A7&amp;": *",Data_Import!$E:$E,"Back squat (barbell)")=0,"",MAXIFS(Data_Import!$H:$H,Data_Import!$O:$O,"Block "&amp;$A7&amp;": *",Data_Import!$E:$E,"Back squat (barbell)"))</f>
        <v/>
      </c>
      <c r="D7">
        <f>IF(COUNTIFS(Data_Import!$O:$O,"Block "&amp;$A7&amp;": *",Data_Import!$E:$E,"Back squat (barbell)")=0,"",MINIFS(Data_Import!$H:$H,Data_Import!$O:$O,"Block "&amp;$A7&amp;": *",Data_Import!$E:$E,"Back squat (barbell)"))</f>
        <v/>
      </c>
      <c r="E7">
        <f>IF(OR(C7="",$B7&lt;&gt;"completed"),"",IF(C7&lt;=D7,"STALLED","ok"))</f>
        <v/>
      </c>
      <c r="F7">
        <f>IF(COUNTIFS(Data_Import!$O:$O,"Block "&amp;$A7&amp;": *",Data_Import!$E:$E,"Bench press (barbell)")=0,"",MAXIFS(Data_Import!$H:$H,Data_Import!$O:$O,"Block "&amp;$A7&amp;": *",Data_Import!$E:$E,"Bench press (barbell)"))</f>
        <v/>
      </c>
      <c r="G7">
        <f>IF(COUNTIFS(Data_Import!$O:$O,"Block "&amp;$A7&amp;": *",Data_Import!$E:$E,"Bench press (barbell)")=0,"",MINIFS(Data_Import!$H:$H,Data_Import!$O:$O,"Block "&amp;$A7&amp;": *",Data_Import!$E:$E,"Bench press (barbell)"))</f>
        <v/>
      </c>
      <c r="H7">
        <f>IF(OR(F7="",$B7&lt;&gt;"completed"),"",IF(F7&lt;=G7,"STALLED","ok"))</f>
        <v/>
      </c>
      <c r="I7">
        <f>IF(COUNTIFS(Data_Import!$O:$O,"Block "&amp;$A7&amp;": *",Data_Import!$J:$J,"swing_speed")=0,"",AVERAGEIFS(Data_Import!$K:$K,Data_Import!$O:$O,"Block "&amp;$A7&amp;": *",Data_Import!$J:$J,"swing_speed"))</f>
        <v/>
      </c>
      <c r="J7">
        <f>IF(COUNTIFS(Data_Import!$O:$O,"Block "&amp;$A7&amp;": *",Data_Import!$J:$J,"rom_hip")=0,"",AVERAGEIFS(Data_Import!$K:$K,Data_Import!$O:$O,"Block "&amp;$A7&amp;": *",Data_Import!$J:$J,"rom_hip"))</f>
        <v/>
      </c>
      <c r="K7">
        <f>IF(OR(J7="",J6="",B7&lt;&gt;"completed"),"",IF(J7=J6,"STAGNANT","ok"))</f>
        <v/>
      </c>
      <c r="L7">
        <f>IF(OR(C7="",I7="",I6="",B7&lt;&gt;"completed"),"",IF(AND(C7&gt;D7,I7&lt;=I6),"PLATEAU","ok"))</f>
        <v/>
      </c>
      <c r="M7">
        <f>IF(OR(F7="",I7="",I6="",B7&lt;&gt;"completed"),"",IF(AND(F7&gt;G7,I7&lt;=I6),"PLATEAU","ok"))</f>
        <v/>
      </c>
    </row>
    <row r="8">
      <c r="A8" t="n">
        <v>4</v>
      </c>
      <c r="B8">
        <f>IF(COUNTIFS(Data_Import!$O:$O,"Block "&amp;$A8&amp;": *")=0,"no data",IF($A8=IFERROR(VALUE(MID(Dashboard!$C$3,7,FIND(":",Dashboard!$C$3)-7)),-1),"in progress","completed"))</f>
        <v/>
      </c>
      <c r="C8">
        <f>IF(COUNTIFS(Data_Import!$O:$O,"Block "&amp;$A8&amp;": *",Data_Import!$E:$E,"Back squat (barbell)")=0,"",MAXIFS(Data_Import!$H:$H,Data_Import!$O:$O,"Block "&amp;$A8&amp;": *",Data_Import!$E:$E,"Back squat (barbell)"))</f>
        <v/>
      </c>
      <c r="D8">
        <f>IF(COUNTIFS(Data_Import!$O:$O,"Block "&amp;$A8&amp;": *",Data_Import!$E:$E,"Back squat (barbell)")=0,"",MINIFS(Data_Import!$H:$H,Data_Import!$O:$O,"Block "&amp;$A8&amp;": *",Data_Import!$E:$E,"Back squat (barbell)"))</f>
        <v/>
      </c>
      <c r="E8">
        <f>IF(OR(C8="",$B8&lt;&gt;"completed"),"",IF(C8&lt;=D8,"STALLED","ok"))</f>
        <v/>
      </c>
      <c r="F8">
        <f>IF(COUNTIFS(Data_Import!$O:$O,"Block "&amp;$A8&amp;": *",Data_Import!$E:$E,"Bench press (barbell)")=0,"",MAXIFS(Data_Import!$H:$H,Data_Import!$O:$O,"Block "&amp;$A8&amp;": *",Data_Import!$E:$E,"Bench press (barbell)"))</f>
        <v/>
      </c>
      <c r="G8">
        <f>IF(COUNTIFS(Data_Import!$O:$O,"Block "&amp;$A8&amp;": *",Data_Import!$E:$E,"Bench press (barbell)")=0,"",MINIFS(Data_Import!$H:$H,Data_Import!$O:$O,"Block "&amp;$A8&amp;": *",Data_Import!$E:$E,"Bench press (barbell)"))</f>
        <v/>
      </c>
      <c r="H8">
        <f>IF(OR(F8="",$B8&lt;&gt;"completed"),"",IF(F8&lt;=G8,"STALLED","ok"))</f>
        <v/>
      </c>
      <c r="I8">
        <f>IF(COUNTIFS(Data_Import!$O:$O,"Block "&amp;$A8&amp;": *",Data_Import!$J:$J,"swing_speed")=0,"",AVERAGEIFS(Data_Import!$K:$K,Data_Import!$O:$O,"Block "&amp;$A8&amp;": *",Data_Import!$J:$J,"swing_speed"))</f>
        <v/>
      </c>
      <c r="J8">
        <f>IF(COUNTIFS(Data_Import!$O:$O,"Block "&amp;$A8&amp;": *",Data_Import!$J:$J,"rom_hip")=0,"",AVERAGEIFS(Data_Import!$K:$K,Data_Import!$O:$O,"Block "&amp;$A8&amp;": *",Data_Import!$J:$J,"rom_hip"))</f>
        <v/>
      </c>
      <c r="K8">
        <f>IF(OR(J8="",J7="",B8&lt;&gt;"completed"),"",IF(J8=J7,"STAGNANT","ok"))</f>
        <v/>
      </c>
      <c r="L8">
        <f>IF(OR(C8="",I8="",I7="",B8&lt;&gt;"completed"),"",IF(AND(C8&gt;D8,I8&lt;=I7),"PLATEAU","ok"))</f>
        <v/>
      </c>
      <c r="M8">
        <f>IF(OR(F8="",I8="",I7="",B8&lt;&gt;"completed"),"",IF(AND(F8&gt;G8,I8&lt;=I7),"PLATEAU","ok"))</f>
        <v/>
      </c>
    </row>
    <row r="9">
      <c r="A9" t="n">
        <v>5</v>
      </c>
      <c r="B9">
        <f>IF(COUNTIFS(Data_Import!$O:$O,"Block "&amp;$A9&amp;": *")=0,"no data",IF($A9=IFERROR(VALUE(MID(Dashboard!$C$3,7,FIND(":",Dashboard!$C$3)-7)),-1),"in progress","completed"))</f>
        <v/>
      </c>
      <c r="C9">
        <f>IF(COUNTIFS(Data_Import!$O:$O,"Block "&amp;$A9&amp;": *",Data_Import!$E:$E,"Back squat (barbell)")=0,"",MAXIFS(Data_Import!$H:$H,Data_Import!$O:$O,"Block "&amp;$A9&amp;": *",Data_Import!$E:$E,"Back squat (barbell)"))</f>
        <v/>
      </c>
      <c r="D9">
        <f>IF(COUNTIFS(Data_Import!$O:$O,"Block "&amp;$A9&amp;": *",Data_Import!$E:$E,"Back squat (barbell)")=0,"",MINIFS(Data_Import!$H:$H,Data_Import!$O:$O,"Block "&amp;$A9&amp;": *",Data_Import!$E:$E,"Back squat (barbell)"))</f>
        <v/>
      </c>
      <c r="E9">
        <f>IF(OR(C9="",$B9&lt;&gt;"completed"),"",IF(C9&lt;=D9,"STALLED","ok"))</f>
        <v/>
      </c>
      <c r="F9">
        <f>IF(COUNTIFS(Data_Import!$O:$O,"Block "&amp;$A9&amp;": *",Data_Import!$E:$E,"Bench press (barbell)")=0,"",MAXIFS(Data_Import!$H:$H,Data_Import!$O:$O,"Block "&amp;$A9&amp;": *",Data_Import!$E:$E,"Bench press (barbell)"))</f>
        <v/>
      </c>
      <c r="G9">
        <f>IF(COUNTIFS(Data_Import!$O:$O,"Block "&amp;$A9&amp;": *",Data_Import!$E:$E,"Bench press (barbell)")=0,"",MINIFS(Data_Import!$H:$H,Data_Import!$O:$O,"Block "&amp;$A9&amp;": *",Data_Import!$E:$E,"Bench press (barbell)"))</f>
        <v/>
      </c>
      <c r="H9">
        <f>IF(OR(F9="",$B9&lt;&gt;"completed"),"",IF(F9&lt;=G9,"STALLED","ok"))</f>
        <v/>
      </c>
      <c r="I9">
        <f>IF(COUNTIFS(Data_Import!$O:$O,"Block "&amp;$A9&amp;": *",Data_Import!$J:$J,"swing_speed")=0,"",AVERAGEIFS(Data_Import!$K:$K,Data_Import!$O:$O,"Block "&amp;$A9&amp;": *",Data_Import!$J:$J,"swing_speed"))</f>
        <v/>
      </c>
      <c r="J9">
        <f>IF(COUNTIFS(Data_Import!$O:$O,"Block "&amp;$A9&amp;": *",Data_Import!$J:$J,"rom_hip")=0,"",AVERAGEIFS(Data_Import!$K:$K,Data_Import!$O:$O,"Block "&amp;$A9&amp;": *",Data_Import!$J:$J,"rom_hip"))</f>
        <v/>
      </c>
      <c r="K9">
        <f>IF(OR(J9="",J8="",B9&lt;&gt;"completed"),"",IF(J9=J8,"STAGNANT","ok"))</f>
        <v/>
      </c>
      <c r="L9">
        <f>IF(OR(C9="",I9="",I8="",B9&lt;&gt;"completed"),"",IF(AND(C9&gt;D9,I9&lt;=I8),"PLATEAU","ok"))</f>
        <v/>
      </c>
      <c r="M9">
        <f>IF(OR(F9="",I9="",I8="",B9&lt;&gt;"completed"),"",IF(AND(F9&gt;G9,I9&lt;=I8),"PLATEAU","ok"))</f>
        <v/>
      </c>
    </row>
    <row r="10">
      <c r="A10" t="n">
        <v>6</v>
      </c>
      <c r="B10">
        <f>IF(COUNTIFS(Data_Import!$O:$O,"Block "&amp;$A10&amp;": *")=0,"no data",IF($A10=IFERROR(VALUE(MID(Dashboard!$C$3,7,FIND(":",Dashboard!$C$3)-7)),-1),"in progress","completed"))</f>
        <v/>
      </c>
      <c r="C10">
        <f>IF(COUNTIFS(Data_Import!$O:$O,"Block "&amp;$A10&amp;": *",Data_Import!$E:$E,"Back squat (barbell)")=0,"",MAXIFS(Data_Import!$H:$H,Data_Import!$O:$O,"Block "&amp;$A10&amp;": *",Data_Import!$E:$E,"Back squat (barbell)"))</f>
        <v/>
      </c>
      <c r="D10">
        <f>IF(COUNTIFS(Data_Import!$O:$O,"Block "&amp;$A10&amp;": *",Data_Import!$E:$E,"Back squat (barbell)")=0,"",MINIFS(Data_Import!$H:$H,Data_Import!$O:$O,"Block "&amp;$A10&amp;": *",Data_Import!$E:$E,"Back squat (barbell)"))</f>
        <v/>
      </c>
      <c r="E10">
        <f>IF(OR(C10="",$B10&lt;&gt;"completed"),"",IF(C10&lt;=D10,"STALLED","ok"))</f>
        <v/>
      </c>
      <c r="F10">
        <f>IF(COUNTIFS(Data_Import!$O:$O,"Block "&amp;$A10&amp;": *",Data_Import!$E:$E,"Bench press (barbell)")=0,"",MAXIFS(Data_Import!$H:$H,Data_Import!$O:$O,"Block "&amp;$A10&amp;": *",Data_Import!$E:$E,"Bench press (barbell)"))</f>
        <v/>
      </c>
      <c r="G10">
        <f>IF(COUNTIFS(Data_Import!$O:$O,"Block "&amp;$A10&amp;": *",Data_Import!$E:$E,"Bench press (barbell)")=0,"",MINIFS(Data_Import!$H:$H,Data_Import!$O:$O,"Block "&amp;$A10&amp;": *",Data_Import!$E:$E,"Bench press (barbell)"))</f>
        <v/>
      </c>
      <c r="H10">
        <f>IF(OR(F10="",$B10&lt;&gt;"completed"),"",IF(F10&lt;=G10,"STALLED","ok"))</f>
        <v/>
      </c>
      <c r="I10">
        <f>IF(COUNTIFS(Data_Import!$O:$O,"Block "&amp;$A10&amp;": *",Data_Import!$J:$J,"swing_speed")=0,"",AVERAGEIFS(Data_Import!$K:$K,Data_Import!$O:$O,"Block "&amp;$A10&amp;": *",Data_Import!$J:$J,"swing_speed"))</f>
        <v/>
      </c>
      <c r="J10">
        <f>IF(COUNTIFS(Data_Import!$O:$O,"Block "&amp;$A10&amp;": *",Data_Import!$J:$J,"rom_hip")=0,"",AVERAGEIFS(Data_Import!$K:$K,Data_Import!$O:$O,"Block "&amp;$A10&amp;": *",Data_Import!$J:$J,"rom_hip"))</f>
        <v/>
      </c>
      <c r="K10">
        <f>IF(OR(J10="",J9="",B10&lt;&gt;"completed"),"",IF(J10=J9,"STAGNANT","ok"))</f>
        <v/>
      </c>
      <c r="L10">
        <f>IF(OR(C10="",I10="",I9="",B10&lt;&gt;"completed"),"",IF(AND(C10&gt;D10,I10&lt;=I9),"PLATEAU","ok"))</f>
        <v/>
      </c>
      <c r="M10">
        <f>IF(OR(F10="",I10="",I9="",B10&lt;&gt;"completed"),"",IF(AND(F10&gt;G10,I10&lt;=I9),"PLATEAU","ok"))</f>
        <v/>
      </c>
    </row>
    <row r="11">
      <c r="A11" t="n">
        <v>7</v>
      </c>
      <c r="B11">
        <f>IF(COUNTIFS(Data_Import!$O:$O,"Block "&amp;$A11&amp;": *")=0,"no data",IF($A11=IFERROR(VALUE(MID(Dashboard!$C$3,7,FIND(":",Dashboard!$C$3)-7)),-1),"in progress","completed"))</f>
        <v/>
      </c>
      <c r="C11">
        <f>IF(COUNTIFS(Data_Import!$O:$O,"Block "&amp;$A11&amp;": *",Data_Import!$E:$E,"Back squat (barbell)")=0,"",MAXIFS(Data_Import!$H:$H,Data_Import!$O:$O,"Block "&amp;$A11&amp;": *",Data_Import!$E:$E,"Back squat (barbell)"))</f>
        <v/>
      </c>
      <c r="D11">
        <f>IF(COUNTIFS(Data_Import!$O:$O,"Block "&amp;$A11&amp;": *",Data_Import!$E:$E,"Back squat (barbell)")=0,"",MINIFS(Data_Import!$H:$H,Data_Import!$O:$O,"Block "&amp;$A11&amp;": *",Data_Import!$E:$E,"Back squat (barbell)"))</f>
        <v/>
      </c>
      <c r="E11">
        <f>IF(OR(C11="",$B11&lt;&gt;"completed"),"",IF(C11&lt;=D11,"STALLED","ok"))</f>
        <v/>
      </c>
      <c r="F11">
        <f>IF(COUNTIFS(Data_Import!$O:$O,"Block "&amp;$A11&amp;": *",Data_Import!$E:$E,"Bench press (barbell)")=0,"",MAXIFS(Data_Import!$H:$H,Data_Import!$O:$O,"Block "&amp;$A11&amp;": *",Data_Import!$E:$E,"Bench press (barbell)"))</f>
        <v/>
      </c>
      <c r="G11">
        <f>IF(COUNTIFS(Data_Import!$O:$O,"Block "&amp;$A11&amp;": *",Data_Import!$E:$E,"Bench press (barbell)")=0,"",MINIFS(Data_Import!$H:$H,Data_Import!$O:$O,"Block "&amp;$A11&amp;": *",Data_Import!$E:$E,"Bench press (barbell)"))</f>
        <v/>
      </c>
      <c r="H11">
        <f>IF(OR(F11="",$B11&lt;&gt;"completed"),"",IF(F11&lt;=G11,"STALLED","ok"))</f>
        <v/>
      </c>
      <c r="I11">
        <f>IF(COUNTIFS(Data_Import!$O:$O,"Block "&amp;$A11&amp;": *",Data_Import!$J:$J,"swing_speed")=0,"",AVERAGEIFS(Data_Import!$K:$K,Data_Import!$O:$O,"Block "&amp;$A11&amp;": *",Data_Import!$J:$J,"swing_speed"))</f>
        <v/>
      </c>
      <c r="J11">
        <f>IF(COUNTIFS(Data_Import!$O:$O,"Block "&amp;$A11&amp;": *",Data_Import!$J:$J,"rom_hip")=0,"",AVERAGEIFS(Data_Import!$K:$K,Data_Import!$O:$O,"Block "&amp;$A11&amp;": *",Data_Import!$J:$J,"rom_hip"))</f>
        <v/>
      </c>
      <c r="K11">
        <f>IF(OR(J11="",J10="",B11&lt;&gt;"completed"),"",IF(J11=J10,"STAGNANT","ok"))</f>
        <v/>
      </c>
      <c r="L11">
        <f>IF(OR(C11="",I11="",I10="",B11&lt;&gt;"completed"),"",IF(AND(C11&gt;D11,I11&lt;=I10),"PLATEAU","ok"))</f>
        <v/>
      </c>
      <c r="M11">
        <f>IF(OR(F11="",I11="",I10="",B11&lt;&gt;"completed"),"",IF(AND(F11&gt;G11,I11&lt;=I10),"PLATEAU","ok"))</f>
        <v/>
      </c>
    </row>
    <row r="12">
      <c r="A12" t="n">
        <v>8</v>
      </c>
      <c r="B12">
        <f>IF(COUNTIFS(Data_Import!$O:$O,"Block "&amp;$A12&amp;": *")=0,"no data",IF($A12=IFERROR(VALUE(MID(Dashboard!$C$3,7,FIND(":",Dashboard!$C$3)-7)),-1),"in progress","completed"))</f>
        <v/>
      </c>
      <c r="C12">
        <f>IF(COUNTIFS(Data_Import!$O:$O,"Block "&amp;$A12&amp;": *",Data_Import!$E:$E,"Back squat (barbell)")=0,"",MAXIFS(Data_Import!$H:$H,Data_Import!$O:$O,"Block "&amp;$A12&amp;": *",Data_Import!$E:$E,"Back squat (barbell)"))</f>
        <v/>
      </c>
      <c r="D12">
        <f>IF(COUNTIFS(Data_Import!$O:$O,"Block "&amp;$A12&amp;": *",Data_Import!$E:$E,"Back squat (barbell)")=0,"",MINIFS(Data_Import!$H:$H,Data_Import!$O:$O,"Block "&amp;$A12&amp;": *",Data_Import!$E:$E,"Back squat (barbell)"))</f>
        <v/>
      </c>
      <c r="E12">
        <f>IF(OR(C12="",$B12&lt;&gt;"completed"),"",IF(C12&lt;=D12,"STALLED","ok"))</f>
        <v/>
      </c>
      <c r="F12">
        <f>IF(COUNTIFS(Data_Import!$O:$O,"Block "&amp;$A12&amp;": *",Data_Import!$E:$E,"Bench press (barbell)")=0,"",MAXIFS(Data_Import!$H:$H,Data_Import!$O:$O,"Block "&amp;$A12&amp;": *",Data_Import!$E:$E,"Bench press (barbell)"))</f>
        <v/>
      </c>
      <c r="G12">
        <f>IF(COUNTIFS(Data_Import!$O:$O,"Block "&amp;$A12&amp;": *",Data_Import!$E:$E,"Bench press (barbell)")=0,"",MINIFS(Data_Import!$H:$H,Data_Import!$O:$O,"Block "&amp;$A12&amp;": *",Data_Import!$E:$E,"Bench press (barbell)"))</f>
        <v/>
      </c>
      <c r="H12">
        <f>IF(OR(F12="",$B12&lt;&gt;"completed"),"",IF(F12&lt;=G12,"STALLED","ok"))</f>
        <v/>
      </c>
      <c r="I12">
        <f>IF(COUNTIFS(Data_Import!$O:$O,"Block "&amp;$A12&amp;": *",Data_Import!$J:$J,"swing_speed")=0,"",AVERAGEIFS(Data_Import!$K:$K,Data_Import!$O:$O,"Block "&amp;$A12&amp;": *",Data_Import!$J:$J,"swing_speed"))</f>
        <v/>
      </c>
      <c r="J12">
        <f>IF(COUNTIFS(Data_Import!$O:$O,"Block "&amp;$A12&amp;": *",Data_Import!$J:$J,"rom_hip")=0,"",AVERAGEIFS(Data_Import!$K:$K,Data_Import!$O:$O,"Block "&amp;$A12&amp;": *",Data_Import!$J:$J,"rom_hip"))</f>
        <v/>
      </c>
      <c r="K12">
        <f>IF(OR(J12="",J11="",B12&lt;&gt;"completed"),"",IF(J12=J11,"STAGNANT","ok"))</f>
        <v/>
      </c>
      <c r="L12">
        <f>IF(OR(C12="",I12="",I11="",B12&lt;&gt;"completed"),"",IF(AND(C12&gt;D12,I12&lt;=I11),"PLATEAU","ok"))</f>
        <v/>
      </c>
      <c r="M12">
        <f>IF(OR(F12="",I12="",I11="",B12&lt;&gt;"completed"),"",IF(AND(F12&gt;G12,I12&lt;=I11),"PLATEAU","ok"))</f>
        <v/>
      </c>
    </row>
    <row r="15">
      <c r="A15" s="4" t="inlineStr">
        <is>
          <t>Session-frequency drift (&lt;2/week over the last 4 weeks of logged dates)</t>
        </is>
      </c>
    </row>
    <row r="16">
      <c r="A16" s="2" t="inlineStr">
        <is>
          <t>Sessions in window</t>
        </is>
      </c>
      <c r="B16">
        <f>SUMPRODUCT((Data_Import!$A$2:$A$2001&lt;&gt;"")*(Data_Import!$A$2:$A$2001&gt;=MAX(Data_Import!$A$2:$A$2001)-27)*(Data_Import!$N$2:$N$2001=1))</f>
        <v/>
      </c>
    </row>
    <row r="17">
      <c r="A17" s="2" t="inlineStr">
        <is>
          <t>Rolling average /week</t>
        </is>
      </c>
      <c r="B17">
        <f>$B$16/4</f>
        <v/>
      </c>
    </row>
    <row r="18">
      <c r="A18" s="4" t="inlineStr">
        <is>
          <t>FLAG</t>
        </is>
      </c>
      <c r="B18">
        <f>IF($B$16=0,"no data yet",IF($B$17&lt;2,"DRIFTING","ok"))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2026-07-07T05:42:28Z</dcterms:created>
  <dcterms:modified xmlns:dcterms="http://purl.org/dc/terms/" xmlns:xsi="http://www.w3.org/2001/XMLSchema-instance" xsi:type="dcterms:W3CDTF">2026-07-07T05:42:28Z</dcterms:modified>
</cp:coreProperties>
</file>